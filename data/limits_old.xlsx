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qkong/Downloads/larry/limits/adiabatic_Tw/new_age_groups/"/>
    </mc:Choice>
  </mc:AlternateContent>
  <xr:revisionPtr revIDLastSave="0" documentId="13_ncr:1_{1B666996-9E0D-7349-B2C9-7729399870B0}" xr6:coauthVersionLast="47" xr6:coauthVersionMax="47" xr10:uidLastSave="{00000000-0000-0000-0000-000000000000}"/>
  <bookViews>
    <workbookView xWindow="0" yWindow="660" windowWidth="30240" windowHeight="18980" xr2:uid="{B20CBDD3-EE54-4F6E-9547-582A37658E93}"/>
  </bookViews>
  <sheets>
    <sheet name="mean" sheetId="7" r:id="rId1"/>
    <sheet name="34C" sheetId="1" r:id="rId2"/>
    <sheet name="36C" sheetId="2" r:id="rId3"/>
    <sheet name="38C" sheetId="3" r:id="rId4"/>
    <sheet name="40C" sheetId="4" r:id="rId5"/>
    <sheet name="12mmHg" sheetId="5" r:id="rId6"/>
    <sheet name="16mmHg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7" l="1"/>
  <c r="A7" i="7"/>
  <c r="B5" i="7"/>
  <c r="A5" i="7"/>
  <c r="B4" i="7"/>
  <c r="A4" i="7"/>
  <c r="B3" i="7"/>
  <c r="A3" i="7"/>
</calcChain>
</file>

<file path=xl/sharedStrings.xml><?xml version="1.0" encoding="utf-8"?>
<sst xmlns="http://schemas.openxmlformats.org/spreadsheetml/2006/main" count="39" uniqueCount="8">
  <si>
    <r>
      <t>T</t>
    </r>
    <r>
      <rPr>
        <vertAlign val="subscript"/>
        <sz val="11"/>
        <color theme="1"/>
        <rFont val="Calibri"/>
        <family val="2"/>
        <scheme val="minor"/>
      </rPr>
      <t>db</t>
    </r>
  </si>
  <si>
    <r>
      <t>P</t>
    </r>
    <r>
      <rPr>
        <vertAlign val="subscript"/>
        <sz val="11"/>
        <color theme="1"/>
        <rFont val="Calibri"/>
        <family val="2"/>
        <scheme val="minor"/>
      </rPr>
      <t>a</t>
    </r>
  </si>
  <si>
    <t>Pa</t>
  </si>
  <si>
    <t>Tdb</t>
  </si>
  <si>
    <t>Tw</t>
  </si>
  <si>
    <t>SR</t>
  </si>
  <si>
    <t>Subject #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</si>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</sst>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4"/>
      <color rgb="FF000000"/>
      <name val="Courier New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7580-3ACA-D948-8A48-C3BF833D38FB}">
  <dimension ref="A1:C7"/>
  <sheetViews>
    <sheetView tabSelected="1" workbookViewId="0">
      <selection activeCell="D28" sqref="D28"/>
    </sheetView>
  </sheetViews>
  <sheetFormatPr baseColWidth="10" defaultRowHeight="15" x14ac:dyDescent="0.2"/>
  <cols>
    <col min="1" max="1" width="14" customWidth="1"/>
  </cols>
  <sheetData>
    <row r="1" spans="1:3" x14ac:dyDescent="0.2">
      <c r="A1" t="s">
        <v>3</v>
      </c>
      <c r="B1" t="s">
        <v>4</v>
      </c>
      <c r="C1" t="s">
        <v>5</v>
      </c>
    </row>
    <row r="2" spans="1:3" x14ac:dyDescent="0.2">
      <c r="A2" s="1">
        <v>33.938888888888897</v>
      </c>
      <c r="B2" s="1">
        <v>28.208471586824864</v>
      </c>
      <c r="C2">
        <v>77.229166666666686</v>
      </c>
    </row>
    <row r="3" spans="1:3" x14ac:dyDescent="0.2">
      <c r="A3" s="1">
        <f>AVERAGE('36C'!C2:C14)</f>
        <v>36.185384615384621</v>
      </c>
      <c r="B3" s="1">
        <f>AVERAGE('36C'!E2:E14)</f>
        <v>27.671566061883045</v>
      </c>
      <c r="C3">
        <v>84.316153846153853</v>
      </c>
    </row>
    <row r="4" spans="1:3" x14ac:dyDescent="0.2">
      <c r="A4" s="1">
        <f>AVERAGE('38C'!C2:C15)</f>
        <v>38.047857142857147</v>
      </c>
      <c r="B4" s="1">
        <f>AVERAGE('38C'!E2:E15)</f>
        <v>27.553193113381102</v>
      </c>
      <c r="C4">
        <v>89.34142857142858</v>
      </c>
    </row>
    <row r="5" spans="1:3" x14ac:dyDescent="0.2">
      <c r="A5" s="1">
        <f>AVERAGE('40C'!C2:C15)</f>
        <v>40.17285714285714</v>
      </c>
      <c r="B5" s="1">
        <f>AVERAGE('40C'!E2:E15)</f>
        <v>25.987043256454843</v>
      </c>
      <c r="C5">
        <v>90.407142857142844</v>
      </c>
    </row>
    <row r="6" spans="1:3" x14ac:dyDescent="0.2">
      <c r="A6" s="1">
        <v>42.858000000000004</v>
      </c>
      <c r="B6" s="1">
        <v>22.731479788937268</v>
      </c>
      <c r="C6">
        <v>91.969999999999985</v>
      </c>
    </row>
    <row r="7" spans="1:3" x14ac:dyDescent="0.2">
      <c r="A7" s="1">
        <f>AVERAGE('16mmHg'!C2:C11)</f>
        <v>40.305999999999997</v>
      </c>
      <c r="B7" s="1">
        <f>AVERAGE('16mmHg'!E2:E11)</f>
        <v>24.478123972937567</v>
      </c>
      <c r="C7">
        <v>82.5745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AA94-A2A9-4422-81D4-36DA86A0DD28}">
  <dimension ref="A1:H19"/>
  <sheetViews>
    <sheetView workbookViewId="0">
      <selection activeCell="C21" sqref="C21:F21"/>
    </sheetView>
  </sheetViews>
  <sheetFormatPr baseColWidth="10" defaultColWidth="8.83203125" defaultRowHeight="15" x14ac:dyDescent="0.2"/>
  <cols>
    <col min="4" max="4" width="6" bestFit="1" customWidth="1"/>
  </cols>
  <sheetData>
    <row r="1" spans="1:8" x14ac:dyDescent="0.2">
      <c r="A1" t="s">
        <v>6</v>
      </c>
      <c r="B1" t="s">
        <v>7</v>
      </c>
      <c r="C1" t="s">
        <v>3</v>
      </c>
      <c r="D1" t="s">
        <v>2</v>
      </c>
      <c r="E1" t="s">
        <v>4</v>
      </c>
      <c r="F1" t="s">
        <v>5</v>
      </c>
    </row>
    <row r="2" spans="1:8" ht="19" x14ac:dyDescent="0.25">
      <c r="A2">
        <v>40</v>
      </c>
      <c r="B2">
        <v>72</v>
      </c>
      <c r="C2">
        <v>34.15</v>
      </c>
      <c r="D2">
        <v>25.68</v>
      </c>
      <c r="E2">
        <v>28.079987272775799</v>
      </c>
      <c r="F2" s="2">
        <v>87.14</v>
      </c>
      <c r="G2" s="3"/>
      <c r="H2" s="4"/>
    </row>
    <row r="3" spans="1:8" ht="19" x14ac:dyDescent="0.25">
      <c r="A3">
        <v>34</v>
      </c>
      <c r="B3">
        <v>65</v>
      </c>
      <c r="C3">
        <v>33.56</v>
      </c>
      <c r="D3">
        <v>20.78</v>
      </c>
      <c r="E3">
        <v>25.510312928551699</v>
      </c>
      <c r="F3" s="2">
        <v>35.270000000000003</v>
      </c>
      <c r="G3" s="4"/>
      <c r="H3" s="4"/>
    </row>
    <row r="4" spans="1:8" ht="19" x14ac:dyDescent="0.25">
      <c r="A4">
        <v>60</v>
      </c>
      <c r="B4">
        <v>68</v>
      </c>
      <c r="C4">
        <v>33.520000000000003</v>
      </c>
      <c r="D4">
        <v>21.12</v>
      </c>
      <c r="E4">
        <v>25.678597845304498</v>
      </c>
      <c r="F4" s="2">
        <v>61.94</v>
      </c>
      <c r="G4" s="4"/>
      <c r="H4" s="4"/>
    </row>
    <row r="5" spans="1:8" ht="19" x14ac:dyDescent="0.25">
      <c r="A5">
        <v>65</v>
      </c>
      <c r="B5">
        <v>72</v>
      </c>
      <c r="C5">
        <v>33.520000000000003</v>
      </c>
      <c r="D5">
        <v>31.24</v>
      </c>
      <c r="E5">
        <v>30.4484125272248</v>
      </c>
      <c r="F5" s="2">
        <v>195.11</v>
      </c>
      <c r="G5" s="4"/>
      <c r="H5" s="3"/>
    </row>
    <row r="6" spans="1:8" ht="19" x14ac:dyDescent="0.25">
      <c r="A6">
        <v>70</v>
      </c>
      <c r="B6">
        <v>70</v>
      </c>
      <c r="C6">
        <v>33.89</v>
      </c>
      <c r="D6">
        <v>25.75</v>
      </c>
      <c r="E6">
        <v>28.0571393553492</v>
      </c>
      <c r="F6" s="2">
        <v>52.56</v>
      </c>
      <c r="G6" s="4"/>
      <c r="H6" s="5"/>
    </row>
    <row r="7" spans="1:8" ht="19" x14ac:dyDescent="0.25">
      <c r="A7">
        <v>80</v>
      </c>
      <c r="B7">
        <v>71</v>
      </c>
      <c r="C7">
        <v>33.46</v>
      </c>
      <c r="D7">
        <v>17.88</v>
      </c>
      <c r="E7">
        <v>23.914226588657002</v>
      </c>
      <c r="F7" s="2">
        <v>48.78</v>
      </c>
      <c r="G7" s="4"/>
      <c r="H7" s="4"/>
    </row>
    <row r="8" spans="1:8" ht="19" x14ac:dyDescent="0.25">
      <c r="A8">
        <v>82</v>
      </c>
      <c r="B8">
        <v>75</v>
      </c>
      <c r="C8">
        <v>34.22</v>
      </c>
      <c r="D8">
        <v>17.805</v>
      </c>
      <c r="E8">
        <v>24.061287486307599</v>
      </c>
      <c r="F8" s="2">
        <v>72.06</v>
      </c>
      <c r="G8" s="4"/>
      <c r="H8" s="4"/>
    </row>
    <row r="9" spans="1:8" ht="19" x14ac:dyDescent="0.25">
      <c r="A9">
        <v>100</v>
      </c>
      <c r="B9">
        <v>66</v>
      </c>
      <c r="C9">
        <v>33.46</v>
      </c>
      <c r="D9">
        <v>21.17</v>
      </c>
      <c r="E9">
        <v>25.6905527154974</v>
      </c>
      <c r="F9" s="2">
        <v>95.27</v>
      </c>
      <c r="G9" s="4"/>
      <c r="H9" s="4"/>
    </row>
    <row r="10" spans="1:8" ht="19" x14ac:dyDescent="0.25">
      <c r="A10">
        <v>115</v>
      </c>
      <c r="B10">
        <v>67</v>
      </c>
      <c r="C10">
        <v>34</v>
      </c>
      <c r="D10">
        <v>32</v>
      </c>
      <c r="E10">
        <v>30.865146754910999</v>
      </c>
      <c r="F10" s="2">
        <v>108.85</v>
      </c>
      <c r="G10" s="4"/>
      <c r="H10" s="4"/>
    </row>
    <row r="11" spans="1:8" ht="19" x14ac:dyDescent="0.25">
      <c r="A11">
        <v>106</v>
      </c>
      <c r="B11">
        <v>65</v>
      </c>
      <c r="C11">
        <v>34.49</v>
      </c>
      <c r="D11">
        <v>29.68</v>
      </c>
      <c r="E11">
        <v>29.966736854447099</v>
      </c>
      <c r="F11" s="2">
        <v>44.84</v>
      </c>
      <c r="G11" s="4"/>
      <c r="H11" s="4"/>
    </row>
    <row r="12" spans="1:8" ht="19" x14ac:dyDescent="0.25">
      <c r="A12">
        <v>116</v>
      </c>
      <c r="B12">
        <v>66</v>
      </c>
      <c r="C12">
        <v>34</v>
      </c>
      <c r="D12">
        <v>33.520000000000003</v>
      </c>
      <c r="E12">
        <v>31.496911117309701</v>
      </c>
      <c r="F12" s="2">
        <v>29.5</v>
      </c>
      <c r="G12" s="4"/>
      <c r="H12" s="4"/>
    </row>
    <row r="13" spans="1:8" ht="19" x14ac:dyDescent="0.25">
      <c r="A13">
        <v>111</v>
      </c>
      <c r="B13">
        <v>67</v>
      </c>
      <c r="C13">
        <v>33.99</v>
      </c>
      <c r="D13">
        <v>30.41</v>
      </c>
      <c r="E13">
        <v>30.184370468624302</v>
      </c>
      <c r="F13" s="2">
        <v>95.43</v>
      </c>
      <c r="G13" s="4"/>
      <c r="H13" s="4"/>
    </row>
    <row r="14" spans="1:8" x14ac:dyDescent="0.2">
      <c r="A14">
        <v>81</v>
      </c>
      <c r="B14">
        <v>61</v>
      </c>
      <c r="C14">
        <v>34.29</v>
      </c>
      <c r="D14">
        <v>23.58</v>
      </c>
      <c r="E14">
        <v>27.0990412134895</v>
      </c>
    </row>
    <row r="15" spans="1:8" x14ac:dyDescent="0.2">
      <c r="A15">
        <v>84</v>
      </c>
      <c r="B15">
        <v>64</v>
      </c>
      <c r="C15">
        <v>33.5</v>
      </c>
      <c r="D15">
        <v>17.41</v>
      </c>
      <c r="E15">
        <v>23.659486468696901</v>
      </c>
    </row>
    <row r="16" spans="1:8" x14ac:dyDescent="0.2">
      <c r="A16">
        <v>86</v>
      </c>
      <c r="B16">
        <v>64</v>
      </c>
      <c r="C16">
        <v>34.29</v>
      </c>
      <c r="D16">
        <v>32.33</v>
      </c>
      <c r="E16">
        <v>31.059667814332201</v>
      </c>
    </row>
    <row r="17" spans="1:5" x14ac:dyDescent="0.2">
      <c r="A17">
        <v>101</v>
      </c>
      <c r="B17">
        <v>61</v>
      </c>
      <c r="C17">
        <v>33.46</v>
      </c>
      <c r="D17">
        <v>33.08</v>
      </c>
      <c r="E17">
        <v>31.212169570250602</v>
      </c>
    </row>
    <row r="18" spans="1:5" x14ac:dyDescent="0.2">
      <c r="A18">
        <v>108</v>
      </c>
      <c r="B18">
        <v>61</v>
      </c>
      <c r="C18">
        <v>34.159999999999997</v>
      </c>
      <c r="D18">
        <v>25.95</v>
      </c>
      <c r="E18">
        <v>28.209243621693801</v>
      </c>
    </row>
    <row r="19" spans="1:5" x14ac:dyDescent="0.2">
      <c r="A19">
        <v>134</v>
      </c>
      <c r="B19">
        <v>61</v>
      </c>
      <c r="C19">
        <v>34.94</v>
      </c>
      <c r="D19">
        <v>35.729999999999997</v>
      </c>
      <c r="E19">
        <v>32.559197959424402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0961-7A4D-4483-8AAE-6FD144D4D06D}">
  <dimension ref="A1:F14"/>
  <sheetViews>
    <sheetView workbookViewId="0">
      <selection activeCell="C15" sqref="C15:F16"/>
    </sheetView>
  </sheetViews>
  <sheetFormatPr baseColWidth="10" defaultColWidth="8.83203125" defaultRowHeight="15" x14ac:dyDescent="0.2"/>
  <cols>
    <col min="4" max="4" width="10.6640625" customWidth="1"/>
  </cols>
  <sheetData>
    <row r="1" spans="1:6" ht="17" x14ac:dyDescent="0.25">
      <c r="A1" t="s">
        <v>6</v>
      </c>
      <c r="B1" t="s">
        <v>7</v>
      </c>
      <c r="C1" t="s">
        <v>0</v>
      </c>
      <c r="D1" t="s">
        <v>1</v>
      </c>
      <c r="E1" t="s">
        <v>4</v>
      </c>
      <c r="F1" t="s">
        <v>5</v>
      </c>
    </row>
    <row r="2" spans="1:6" ht="19" x14ac:dyDescent="0.25">
      <c r="A2">
        <v>44</v>
      </c>
      <c r="B2">
        <v>72</v>
      </c>
      <c r="C2">
        <v>35.94</v>
      </c>
      <c r="D2">
        <v>16.489999999999998</v>
      </c>
      <c r="E2">
        <v>23.748703687714102</v>
      </c>
      <c r="F2" s="2">
        <v>178.93</v>
      </c>
    </row>
    <row r="3" spans="1:6" ht="19" x14ac:dyDescent="0.25">
      <c r="A3">
        <v>35</v>
      </c>
      <c r="B3">
        <v>65</v>
      </c>
      <c r="C3">
        <v>35.950000000000003</v>
      </c>
      <c r="D3">
        <v>22.67</v>
      </c>
      <c r="E3">
        <v>27.018738552364901</v>
      </c>
      <c r="F3" s="2">
        <v>62.5</v>
      </c>
    </row>
    <row r="4" spans="1:6" ht="19" x14ac:dyDescent="0.25">
      <c r="A4">
        <v>61</v>
      </c>
      <c r="B4">
        <v>71</v>
      </c>
      <c r="C4">
        <v>36.380000000000003</v>
      </c>
      <c r="D4">
        <v>18.05</v>
      </c>
      <c r="E4">
        <v>24.722476880597601</v>
      </c>
      <c r="F4" s="2">
        <v>93.83</v>
      </c>
    </row>
    <row r="5" spans="1:6" ht="19" x14ac:dyDescent="0.25">
      <c r="A5">
        <v>63</v>
      </c>
      <c r="B5">
        <v>73</v>
      </c>
      <c r="C5">
        <v>35.94</v>
      </c>
      <c r="D5">
        <v>26.09</v>
      </c>
      <c r="E5">
        <v>28.650492192901801</v>
      </c>
      <c r="F5" s="2">
        <v>62.24</v>
      </c>
    </row>
    <row r="6" spans="1:6" ht="19" x14ac:dyDescent="0.25">
      <c r="A6">
        <v>79</v>
      </c>
      <c r="B6">
        <v>70</v>
      </c>
      <c r="C6">
        <v>35.950000000000003</v>
      </c>
      <c r="D6">
        <v>22.58</v>
      </c>
      <c r="E6">
        <v>26.974212512394601</v>
      </c>
      <c r="F6" s="2">
        <v>34.94</v>
      </c>
    </row>
    <row r="7" spans="1:6" ht="19" x14ac:dyDescent="0.25">
      <c r="A7">
        <v>89</v>
      </c>
      <c r="B7">
        <v>70</v>
      </c>
      <c r="C7">
        <v>35.950000000000003</v>
      </c>
      <c r="D7">
        <v>27.92</v>
      </c>
      <c r="E7">
        <v>29.483533062084</v>
      </c>
      <c r="F7" s="2">
        <v>173.49</v>
      </c>
    </row>
    <row r="8" spans="1:6" ht="19" x14ac:dyDescent="0.25">
      <c r="A8">
        <v>93</v>
      </c>
      <c r="B8">
        <v>71</v>
      </c>
      <c r="C8">
        <v>36</v>
      </c>
      <c r="D8">
        <v>26.3</v>
      </c>
      <c r="E8">
        <v>28.759792106297699</v>
      </c>
      <c r="F8" s="2">
        <v>106.26</v>
      </c>
    </row>
    <row r="9" spans="1:6" ht="19" x14ac:dyDescent="0.25">
      <c r="A9">
        <v>95</v>
      </c>
      <c r="B9">
        <v>92</v>
      </c>
      <c r="C9">
        <v>36.1</v>
      </c>
      <c r="D9">
        <v>17.09</v>
      </c>
      <c r="E9">
        <v>24.1255642383455</v>
      </c>
      <c r="F9" s="2">
        <v>52.21</v>
      </c>
    </row>
    <row r="10" spans="1:6" ht="19" x14ac:dyDescent="0.25">
      <c r="A10">
        <v>87</v>
      </c>
      <c r="B10">
        <v>69</v>
      </c>
      <c r="C10">
        <v>36.29</v>
      </c>
      <c r="D10">
        <v>25.94</v>
      </c>
      <c r="E10">
        <v>28.654194393066899</v>
      </c>
      <c r="F10" s="2">
        <v>65.19</v>
      </c>
    </row>
    <row r="11" spans="1:6" ht="19" x14ac:dyDescent="0.25">
      <c r="A11">
        <v>106</v>
      </c>
      <c r="B11">
        <v>65</v>
      </c>
      <c r="C11">
        <v>35.950000000000003</v>
      </c>
      <c r="D11">
        <v>24.43</v>
      </c>
      <c r="E11">
        <v>27.873337048228301</v>
      </c>
      <c r="F11" s="2">
        <v>127.09</v>
      </c>
    </row>
    <row r="12" spans="1:6" ht="19" x14ac:dyDescent="0.25">
      <c r="A12">
        <v>117</v>
      </c>
      <c r="B12">
        <v>70</v>
      </c>
      <c r="C12">
        <v>37.11</v>
      </c>
      <c r="D12">
        <v>27.03</v>
      </c>
      <c r="E12">
        <v>29.319740511482699</v>
      </c>
      <c r="F12" s="2">
        <v>26.97</v>
      </c>
    </row>
    <row r="13" spans="1:6" ht="19" x14ac:dyDescent="0.25">
      <c r="A13">
        <v>139</v>
      </c>
      <c r="B13">
        <v>75</v>
      </c>
      <c r="C13">
        <v>36.82</v>
      </c>
      <c r="D13">
        <v>28.66</v>
      </c>
      <c r="E13">
        <v>29.984891049902</v>
      </c>
      <c r="F13" s="2">
        <v>42.4</v>
      </c>
    </row>
    <row r="14" spans="1:6" ht="19" x14ac:dyDescent="0.25">
      <c r="A14">
        <v>131</v>
      </c>
      <c r="B14">
        <v>67</v>
      </c>
      <c r="C14">
        <v>36.03</v>
      </c>
      <c r="D14">
        <v>30.01</v>
      </c>
      <c r="E14">
        <v>30.414682569099501</v>
      </c>
      <c r="F14" s="2">
        <v>70.06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BE76-749B-4CB9-ACBA-76C259B5CDA1}">
  <dimension ref="A1:F15"/>
  <sheetViews>
    <sheetView workbookViewId="0">
      <selection activeCell="C16" sqref="C16:F16"/>
    </sheetView>
  </sheetViews>
  <sheetFormatPr baseColWidth="10" defaultColWidth="8.83203125" defaultRowHeight="15" x14ac:dyDescent="0.2"/>
  <sheetData>
    <row r="1" spans="1:6" ht="17" x14ac:dyDescent="0.25">
      <c r="A1" t="s">
        <v>6</v>
      </c>
      <c r="B1" t="s">
        <v>7</v>
      </c>
      <c r="C1" t="s">
        <v>0</v>
      </c>
      <c r="D1" t="s">
        <v>1</v>
      </c>
      <c r="E1" t="s">
        <v>4</v>
      </c>
      <c r="F1" t="s">
        <v>5</v>
      </c>
    </row>
    <row r="2" spans="1:6" ht="19" x14ac:dyDescent="0.25">
      <c r="A2">
        <v>36</v>
      </c>
      <c r="B2">
        <v>79</v>
      </c>
      <c r="C2">
        <v>37.979999999999997</v>
      </c>
      <c r="D2">
        <v>18.48</v>
      </c>
      <c r="E2">
        <v>25.331938256500301</v>
      </c>
      <c r="F2" s="2">
        <v>39.81</v>
      </c>
    </row>
    <row r="3" spans="1:6" ht="19" x14ac:dyDescent="0.25">
      <c r="A3">
        <v>55</v>
      </c>
      <c r="B3">
        <v>66</v>
      </c>
      <c r="C3">
        <v>38.43</v>
      </c>
      <c r="D3">
        <v>25.98</v>
      </c>
      <c r="E3">
        <v>29.112779979996201</v>
      </c>
      <c r="F3" s="2">
        <v>229.13</v>
      </c>
    </row>
    <row r="4" spans="1:6" ht="19" x14ac:dyDescent="0.25">
      <c r="A4">
        <v>38</v>
      </c>
      <c r="B4">
        <v>70</v>
      </c>
      <c r="C4">
        <v>38.43</v>
      </c>
      <c r="D4">
        <v>24.77</v>
      </c>
      <c r="E4">
        <v>28.556529123581399</v>
      </c>
      <c r="F4" s="2">
        <v>43.33</v>
      </c>
    </row>
    <row r="5" spans="1:6" ht="19" x14ac:dyDescent="0.25">
      <c r="A5">
        <v>72</v>
      </c>
      <c r="B5">
        <v>70</v>
      </c>
      <c r="C5">
        <v>37.6</v>
      </c>
      <c r="D5">
        <v>21.93</v>
      </c>
      <c r="E5">
        <v>27.016504747734</v>
      </c>
      <c r="F5" s="2">
        <v>78.25</v>
      </c>
    </row>
    <row r="6" spans="1:6" ht="19" x14ac:dyDescent="0.25">
      <c r="A6">
        <v>73</v>
      </c>
      <c r="B6">
        <v>83</v>
      </c>
      <c r="C6">
        <v>37.61</v>
      </c>
      <c r="D6">
        <v>14.31</v>
      </c>
      <c r="E6">
        <v>22.9086420185969</v>
      </c>
      <c r="F6" s="2">
        <v>56.1</v>
      </c>
    </row>
    <row r="7" spans="1:6" ht="19" x14ac:dyDescent="0.25">
      <c r="A7">
        <v>66</v>
      </c>
      <c r="B7">
        <v>66</v>
      </c>
      <c r="C7">
        <v>38.049999999999997</v>
      </c>
      <c r="D7">
        <v>22.56</v>
      </c>
      <c r="E7">
        <v>27.424127090907501</v>
      </c>
      <c r="F7" s="2">
        <v>139.47999999999999</v>
      </c>
    </row>
    <row r="8" spans="1:6" ht="19" x14ac:dyDescent="0.25">
      <c r="A8">
        <v>54</v>
      </c>
      <c r="B8">
        <v>66</v>
      </c>
      <c r="C8">
        <v>37.6</v>
      </c>
      <c r="D8">
        <v>23.99</v>
      </c>
      <c r="E8">
        <v>28.0158853212893</v>
      </c>
      <c r="F8" s="2">
        <v>131.01</v>
      </c>
    </row>
    <row r="9" spans="1:6" ht="19" x14ac:dyDescent="0.25">
      <c r="A9">
        <v>82</v>
      </c>
      <c r="B9">
        <v>75</v>
      </c>
      <c r="C9">
        <v>37.6</v>
      </c>
      <c r="D9">
        <v>18.920000000000002</v>
      </c>
      <c r="E9">
        <v>25.476841209389999</v>
      </c>
      <c r="F9" s="2">
        <v>27.53</v>
      </c>
    </row>
    <row r="10" spans="1:6" ht="19" x14ac:dyDescent="0.25">
      <c r="A10">
        <v>104</v>
      </c>
      <c r="B10">
        <v>67</v>
      </c>
      <c r="C10">
        <v>37.61</v>
      </c>
      <c r="D10">
        <v>18.04</v>
      </c>
      <c r="E10">
        <v>25.009597261902101</v>
      </c>
      <c r="F10" s="2">
        <v>21.26</v>
      </c>
    </row>
    <row r="11" spans="1:6" ht="19" x14ac:dyDescent="0.25">
      <c r="A11">
        <v>87</v>
      </c>
      <c r="B11">
        <v>69</v>
      </c>
      <c r="C11">
        <v>39</v>
      </c>
      <c r="D11">
        <v>26.4</v>
      </c>
      <c r="E11">
        <v>29.417470606158499</v>
      </c>
      <c r="F11" s="2">
        <v>42.77</v>
      </c>
    </row>
    <row r="12" spans="1:6" ht="19" x14ac:dyDescent="0.25">
      <c r="A12">
        <v>122</v>
      </c>
      <c r="B12">
        <v>69</v>
      </c>
      <c r="C12">
        <v>38.4</v>
      </c>
      <c r="D12">
        <v>28.54</v>
      </c>
      <c r="E12">
        <v>30.2431296134653</v>
      </c>
      <c r="F12" s="2">
        <v>113.45</v>
      </c>
    </row>
    <row r="13" spans="1:6" ht="19" x14ac:dyDescent="0.25">
      <c r="A13">
        <v>111</v>
      </c>
      <c r="B13">
        <v>67</v>
      </c>
      <c r="C13">
        <v>38.409999999999997</v>
      </c>
      <c r="D13">
        <v>27.52</v>
      </c>
      <c r="E13">
        <v>29.798697125086498</v>
      </c>
      <c r="F13" s="2">
        <v>112.4</v>
      </c>
    </row>
    <row r="14" spans="1:6" ht="19" x14ac:dyDescent="0.25">
      <c r="A14">
        <v>136</v>
      </c>
      <c r="B14">
        <v>76</v>
      </c>
      <c r="C14">
        <v>37.54</v>
      </c>
      <c r="D14">
        <v>20.56</v>
      </c>
      <c r="E14">
        <v>26.3144967910603</v>
      </c>
      <c r="F14" s="2">
        <v>90.63</v>
      </c>
    </row>
    <row r="15" spans="1:6" ht="19" x14ac:dyDescent="0.25">
      <c r="A15">
        <v>129</v>
      </c>
      <c r="B15">
        <v>68</v>
      </c>
      <c r="C15">
        <v>38.409999999999997</v>
      </c>
      <c r="D15">
        <v>30.59</v>
      </c>
      <c r="E15">
        <v>31.118064441667102</v>
      </c>
      <c r="F15" s="2">
        <v>125.63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2AB3-C6E6-4B4E-A5D0-73451A19A466}">
  <dimension ref="A1:F15"/>
  <sheetViews>
    <sheetView workbookViewId="0">
      <selection activeCell="C16" sqref="C16:F16"/>
    </sheetView>
  </sheetViews>
  <sheetFormatPr baseColWidth="10" defaultColWidth="8.83203125" defaultRowHeight="15" x14ac:dyDescent="0.2"/>
  <sheetData>
    <row r="1" spans="1:6" ht="17" x14ac:dyDescent="0.25">
      <c r="A1" t="s">
        <v>6</v>
      </c>
      <c r="B1" t="s">
        <v>7</v>
      </c>
      <c r="C1" t="s">
        <v>0</v>
      </c>
      <c r="D1" t="s">
        <v>1</v>
      </c>
      <c r="E1" t="s">
        <v>4</v>
      </c>
      <c r="F1" t="s">
        <v>5</v>
      </c>
    </row>
    <row r="2" spans="1:6" ht="19" x14ac:dyDescent="0.25">
      <c r="A2">
        <v>45</v>
      </c>
      <c r="B2">
        <v>76</v>
      </c>
      <c r="C2">
        <v>40.090000000000003</v>
      </c>
      <c r="D2">
        <v>12.95</v>
      </c>
      <c r="E2">
        <v>22.7305582955807</v>
      </c>
      <c r="F2" s="2">
        <v>38.729999999999997</v>
      </c>
    </row>
    <row r="3" spans="1:6" ht="19" x14ac:dyDescent="0.25">
      <c r="A3">
        <v>43</v>
      </c>
      <c r="B3">
        <v>67</v>
      </c>
      <c r="C3">
        <v>40.090000000000003</v>
      </c>
      <c r="D3">
        <v>18.95</v>
      </c>
      <c r="E3">
        <v>26.061559629867901</v>
      </c>
      <c r="F3" s="2">
        <v>177.25</v>
      </c>
    </row>
    <row r="4" spans="1:6" ht="19" x14ac:dyDescent="0.25">
      <c r="A4">
        <v>62</v>
      </c>
      <c r="B4">
        <v>75</v>
      </c>
      <c r="C4">
        <v>40.090000000000003</v>
      </c>
      <c r="D4">
        <v>14.43</v>
      </c>
      <c r="E4">
        <v>23.597578506616099</v>
      </c>
      <c r="F4" s="2">
        <v>113.35</v>
      </c>
    </row>
    <row r="5" spans="1:6" ht="19" x14ac:dyDescent="0.25">
      <c r="A5">
        <v>76</v>
      </c>
      <c r="B5">
        <v>65</v>
      </c>
      <c r="C5">
        <v>40.090000000000003</v>
      </c>
      <c r="D5">
        <v>17.440000000000001</v>
      </c>
      <c r="E5">
        <v>25.266888882561901</v>
      </c>
      <c r="F5" s="2">
        <v>117.35</v>
      </c>
    </row>
    <row r="6" spans="1:6" ht="19" x14ac:dyDescent="0.25">
      <c r="A6">
        <v>73</v>
      </c>
      <c r="B6">
        <v>83</v>
      </c>
      <c r="C6">
        <v>40.090000000000003</v>
      </c>
      <c r="D6">
        <v>15.91</v>
      </c>
      <c r="E6">
        <v>24.4332924674267</v>
      </c>
      <c r="F6" s="2">
        <v>43.63</v>
      </c>
    </row>
    <row r="7" spans="1:6" ht="19" x14ac:dyDescent="0.25">
      <c r="A7">
        <v>77</v>
      </c>
      <c r="B7">
        <v>71</v>
      </c>
      <c r="C7">
        <v>40.090000000000003</v>
      </c>
      <c r="D7">
        <v>20.53</v>
      </c>
      <c r="E7">
        <v>26.865395416121299</v>
      </c>
      <c r="F7" s="2">
        <v>130.02000000000001</v>
      </c>
    </row>
    <row r="8" spans="1:6" ht="19" x14ac:dyDescent="0.25">
      <c r="A8">
        <v>93</v>
      </c>
      <c r="B8">
        <v>71</v>
      </c>
      <c r="C8">
        <v>40.090000000000003</v>
      </c>
      <c r="D8">
        <v>18</v>
      </c>
      <c r="E8">
        <v>25.5647388632818</v>
      </c>
      <c r="F8" s="2">
        <v>129.36000000000001</v>
      </c>
    </row>
    <row r="9" spans="1:6" ht="19" x14ac:dyDescent="0.25">
      <c r="A9">
        <v>95</v>
      </c>
      <c r="B9">
        <v>92</v>
      </c>
      <c r="C9">
        <v>40.1</v>
      </c>
      <c r="D9">
        <v>15.46</v>
      </c>
      <c r="E9">
        <v>24.1847533612486</v>
      </c>
      <c r="F9" s="2">
        <v>41.33</v>
      </c>
    </row>
    <row r="10" spans="1:6" ht="19" x14ac:dyDescent="0.25">
      <c r="A10">
        <v>100</v>
      </c>
      <c r="B10">
        <v>66</v>
      </c>
      <c r="C10">
        <v>40.1</v>
      </c>
      <c r="D10">
        <v>17.2</v>
      </c>
      <c r="E10">
        <v>25.140398248606399</v>
      </c>
      <c r="F10" s="2">
        <v>103.15</v>
      </c>
    </row>
    <row r="11" spans="1:6" ht="19" x14ac:dyDescent="0.25">
      <c r="A11">
        <v>117</v>
      </c>
      <c r="B11">
        <v>70</v>
      </c>
      <c r="C11">
        <v>40.880000000000003</v>
      </c>
      <c r="D11">
        <v>23.76</v>
      </c>
      <c r="E11">
        <v>28.5911275799617</v>
      </c>
      <c r="F11" s="2">
        <v>52.4</v>
      </c>
    </row>
    <row r="12" spans="1:6" ht="19" x14ac:dyDescent="0.25">
      <c r="A12">
        <v>113</v>
      </c>
      <c r="B12">
        <v>84</v>
      </c>
      <c r="C12">
        <v>40.020000000000003</v>
      </c>
      <c r="D12">
        <v>13.61</v>
      </c>
      <c r="E12">
        <v>23.1037689463584</v>
      </c>
      <c r="F12" s="2">
        <v>37.49</v>
      </c>
    </row>
    <row r="13" spans="1:6" ht="19" x14ac:dyDescent="0.25">
      <c r="A13">
        <v>129</v>
      </c>
      <c r="B13">
        <v>68</v>
      </c>
      <c r="C13">
        <v>40.619999999999997</v>
      </c>
      <c r="D13">
        <v>20.48</v>
      </c>
      <c r="E13">
        <v>26.955963953314399</v>
      </c>
      <c r="F13" s="2">
        <v>165.1</v>
      </c>
    </row>
    <row r="14" spans="1:6" ht="19" x14ac:dyDescent="0.25">
      <c r="A14">
        <v>115</v>
      </c>
      <c r="B14">
        <v>67</v>
      </c>
      <c r="C14">
        <v>40.049999999999997</v>
      </c>
      <c r="D14">
        <v>31.09</v>
      </c>
      <c r="E14">
        <v>31.630756475367999</v>
      </c>
      <c r="F14" s="2">
        <v>77.209999999999994</v>
      </c>
    </row>
    <row r="15" spans="1:6" ht="19" x14ac:dyDescent="0.25">
      <c r="A15">
        <v>116</v>
      </c>
      <c r="B15">
        <v>66</v>
      </c>
      <c r="C15">
        <v>40.020000000000003</v>
      </c>
      <c r="D15">
        <v>26.56</v>
      </c>
      <c r="E15">
        <v>29.6918249640539</v>
      </c>
      <c r="F15" s="2">
        <v>39.33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EA93-0D8C-4920-8DB0-F6177CB759D6}">
  <dimension ref="A1:F26"/>
  <sheetViews>
    <sheetView workbookViewId="0">
      <selection activeCell="K37" sqref="K37"/>
    </sheetView>
  </sheetViews>
  <sheetFormatPr baseColWidth="10" defaultColWidth="8.83203125" defaultRowHeight="15" x14ac:dyDescent="0.2"/>
  <sheetData>
    <row r="1" spans="1:6" ht="17" x14ac:dyDescent="0.25">
      <c r="A1" t="s">
        <v>6</v>
      </c>
      <c r="B1" t="s">
        <v>7</v>
      </c>
      <c r="C1" t="s">
        <v>0</v>
      </c>
      <c r="D1" t="s">
        <v>1</v>
      </c>
      <c r="E1" t="s">
        <v>4</v>
      </c>
      <c r="F1" t="s">
        <v>5</v>
      </c>
    </row>
    <row r="2" spans="1:6" ht="19" x14ac:dyDescent="0.25">
      <c r="A2">
        <v>34</v>
      </c>
      <c r="B2">
        <v>65</v>
      </c>
      <c r="C2">
        <v>40.92</v>
      </c>
      <c r="D2">
        <v>12.37</v>
      </c>
      <c r="E2">
        <v>22.592932800612999</v>
      </c>
      <c r="F2" s="2">
        <v>37.68</v>
      </c>
    </row>
    <row r="3" spans="1:6" ht="19" x14ac:dyDescent="0.25">
      <c r="A3">
        <v>43</v>
      </c>
      <c r="B3">
        <v>67</v>
      </c>
      <c r="C3">
        <v>37.5</v>
      </c>
      <c r="D3">
        <v>11.51</v>
      </c>
      <c r="E3">
        <v>21.1674758200216</v>
      </c>
      <c r="F3" s="2">
        <v>52.16</v>
      </c>
    </row>
    <row r="4" spans="1:6" ht="19" x14ac:dyDescent="0.25">
      <c r="A4">
        <v>45</v>
      </c>
      <c r="B4">
        <v>76</v>
      </c>
      <c r="C4">
        <v>40.94</v>
      </c>
      <c r="D4">
        <v>12.54</v>
      </c>
      <c r="E4">
        <v>22.700049953754299</v>
      </c>
      <c r="F4" s="2">
        <v>92.23</v>
      </c>
    </row>
    <row r="5" spans="1:6" ht="19" x14ac:dyDescent="0.25">
      <c r="A5">
        <v>61</v>
      </c>
      <c r="B5">
        <v>71</v>
      </c>
      <c r="C5">
        <v>43.51</v>
      </c>
      <c r="D5">
        <v>12.27</v>
      </c>
      <c r="E5">
        <v>23.178929794458298</v>
      </c>
      <c r="F5" s="2">
        <v>31.25</v>
      </c>
    </row>
    <row r="6" spans="1:6" ht="19" x14ac:dyDescent="0.25">
      <c r="A6">
        <v>63</v>
      </c>
      <c r="B6">
        <v>73</v>
      </c>
      <c r="C6">
        <v>48.04</v>
      </c>
      <c r="D6">
        <v>11.76</v>
      </c>
      <c r="E6">
        <v>23.9678625684904</v>
      </c>
      <c r="F6" s="2">
        <v>126.92</v>
      </c>
    </row>
    <row r="7" spans="1:6" ht="19" x14ac:dyDescent="0.25">
      <c r="A7">
        <v>38</v>
      </c>
      <c r="B7">
        <v>70</v>
      </c>
      <c r="C7">
        <v>43.49</v>
      </c>
      <c r="D7">
        <v>12.33</v>
      </c>
      <c r="E7">
        <v>23.2093983031878</v>
      </c>
      <c r="F7" s="2">
        <v>29.12</v>
      </c>
    </row>
    <row r="8" spans="1:6" ht="19" x14ac:dyDescent="0.25">
      <c r="A8">
        <v>65</v>
      </c>
      <c r="B8">
        <v>72</v>
      </c>
      <c r="C8">
        <v>48.81</v>
      </c>
      <c r="D8">
        <v>12.9</v>
      </c>
      <c r="E8">
        <v>24.790035435958298</v>
      </c>
      <c r="F8" s="2">
        <v>213.67</v>
      </c>
    </row>
    <row r="9" spans="1:6" ht="19" x14ac:dyDescent="0.25">
      <c r="A9">
        <v>62</v>
      </c>
      <c r="B9">
        <v>75</v>
      </c>
      <c r="C9">
        <v>41.12</v>
      </c>
      <c r="D9">
        <v>10.94</v>
      </c>
      <c r="E9">
        <v>21.7677498545238</v>
      </c>
      <c r="F9" s="2">
        <v>194.56</v>
      </c>
    </row>
    <row r="10" spans="1:6" ht="19" x14ac:dyDescent="0.25">
      <c r="A10">
        <v>76</v>
      </c>
      <c r="B10">
        <v>65</v>
      </c>
      <c r="C10">
        <v>47.24</v>
      </c>
      <c r="D10">
        <v>12.21</v>
      </c>
      <c r="E10">
        <v>24.038733821217701</v>
      </c>
      <c r="F10" s="2">
        <v>116.3</v>
      </c>
    </row>
    <row r="11" spans="1:6" ht="19" x14ac:dyDescent="0.25">
      <c r="A11">
        <v>72</v>
      </c>
      <c r="B11">
        <v>70</v>
      </c>
      <c r="C11">
        <v>34.909999999999997</v>
      </c>
      <c r="D11">
        <v>11.19</v>
      </c>
      <c r="E11">
        <v>20.2471230536426</v>
      </c>
      <c r="F11" s="2">
        <v>46.66</v>
      </c>
    </row>
    <row r="12" spans="1:6" ht="19" x14ac:dyDescent="0.25">
      <c r="A12">
        <v>71</v>
      </c>
      <c r="B12">
        <v>71</v>
      </c>
      <c r="C12">
        <v>41.13</v>
      </c>
      <c r="D12">
        <v>11.1</v>
      </c>
      <c r="E12">
        <v>21.870037616312899</v>
      </c>
      <c r="F12" s="2">
        <v>95.02</v>
      </c>
    </row>
    <row r="13" spans="1:6" ht="19" x14ac:dyDescent="0.25">
      <c r="A13">
        <v>79</v>
      </c>
      <c r="B13">
        <v>70</v>
      </c>
      <c r="C13">
        <v>39.270000000000003</v>
      </c>
      <c r="D13">
        <v>12.03</v>
      </c>
      <c r="E13">
        <v>21.9620879785437</v>
      </c>
      <c r="F13" s="2">
        <v>48.81</v>
      </c>
    </row>
    <row r="14" spans="1:6" ht="19" x14ac:dyDescent="0.25">
      <c r="A14">
        <v>85</v>
      </c>
      <c r="B14">
        <v>68</v>
      </c>
      <c r="C14">
        <v>43.41</v>
      </c>
      <c r="D14">
        <v>11.31</v>
      </c>
      <c r="E14">
        <v>22.5802324724161</v>
      </c>
      <c r="F14" s="2">
        <v>96.82</v>
      </c>
    </row>
    <row r="15" spans="1:6" ht="19" x14ac:dyDescent="0.25">
      <c r="A15">
        <v>96</v>
      </c>
      <c r="B15">
        <v>89</v>
      </c>
      <c r="C15">
        <v>43.15</v>
      </c>
      <c r="D15">
        <v>11.63</v>
      </c>
      <c r="E15">
        <v>22.708406581697201</v>
      </c>
      <c r="F15" s="2">
        <v>188.33</v>
      </c>
    </row>
    <row r="16" spans="1:6" ht="19" x14ac:dyDescent="0.25">
      <c r="A16">
        <v>89</v>
      </c>
      <c r="B16">
        <v>70</v>
      </c>
      <c r="C16">
        <v>43.86</v>
      </c>
      <c r="D16">
        <v>11.31</v>
      </c>
      <c r="E16">
        <v>22.692704630544</v>
      </c>
      <c r="F16" s="2">
        <v>78.94</v>
      </c>
    </row>
    <row r="17" spans="1:6" ht="19" x14ac:dyDescent="0.25">
      <c r="A17">
        <v>104</v>
      </c>
      <c r="B17">
        <v>67</v>
      </c>
      <c r="C17">
        <v>48.36</v>
      </c>
      <c r="D17">
        <v>12.4</v>
      </c>
      <c r="E17">
        <v>24.407084257864</v>
      </c>
      <c r="F17" s="2">
        <v>23.05</v>
      </c>
    </row>
    <row r="18" spans="1:6" x14ac:dyDescent="0.2">
      <c r="A18">
        <v>81</v>
      </c>
      <c r="B18">
        <v>61</v>
      </c>
      <c r="C18">
        <v>40.72</v>
      </c>
      <c r="D18">
        <v>11.29</v>
      </c>
      <c r="E18">
        <v>21.881652175484799</v>
      </c>
    </row>
    <row r="19" spans="1:6" x14ac:dyDescent="0.2">
      <c r="A19">
        <v>84</v>
      </c>
      <c r="B19">
        <v>64</v>
      </c>
      <c r="C19">
        <v>35.950000000000003</v>
      </c>
      <c r="D19">
        <v>11.66</v>
      </c>
      <c r="E19">
        <v>20.8413399741255</v>
      </c>
    </row>
    <row r="20" spans="1:6" x14ac:dyDescent="0.2">
      <c r="A20">
        <v>86</v>
      </c>
      <c r="B20">
        <v>64</v>
      </c>
      <c r="C20">
        <v>50.08</v>
      </c>
      <c r="D20">
        <v>12.05</v>
      </c>
      <c r="E20">
        <v>24.6034071733981</v>
      </c>
    </row>
    <row r="21" spans="1:6" x14ac:dyDescent="0.2">
      <c r="A21">
        <v>101</v>
      </c>
      <c r="B21">
        <v>61</v>
      </c>
      <c r="C21">
        <v>42.47</v>
      </c>
      <c r="D21">
        <v>11.12</v>
      </c>
      <c r="E21">
        <v>22.226824395921799</v>
      </c>
    </row>
    <row r="22" spans="1:6" x14ac:dyDescent="0.2">
      <c r="A22">
        <v>107</v>
      </c>
      <c r="B22">
        <v>63</v>
      </c>
      <c r="C22">
        <v>43.42</v>
      </c>
      <c r="D22">
        <v>11.38</v>
      </c>
      <c r="E22">
        <v>22.625100911095899</v>
      </c>
    </row>
    <row r="23" spans="1:6" x14ac:dyDescent="0.2">
      <c r="A23">
        <v>108</v>
      </c>
      <c r="B23">
        <v>61</v>
      </c>
      <c r="C23">
        <v>42.3</v>
      </c>
      <c r="D23">
        <v>12.5</v>
      </c>
      <c r="E23">
        <v>23.016392880719099</v>
      </c>
    </row>
    <row r="24" spans="1:6" x14ac:dyDescent="0.2">
      <c r="A24">
        <v>112</v>
      </c>
      <c r="B24">
        <v>63</v>
      </c>
      <c r="C24">
        <v>44.25</v>
      </c>
      <c r="D24">
        <v>11.93</v>
      </c>
      <c r="E24">
        <v>23.159449141887801</v>
      </c>
    </row>
    <row r="25" spans="1:6" x14ac:dyDescent="0.2">
      <c r="A25">
        <v>120</v>
      </c>
      <c r="B25">
        <v>64</v>
      </c>
      <c r="C25">
        <v>42.59</v>
      </c>
      <c r="D25">
        <v>12.15</v>
      </c>
      <c r="E25">
        <v>22.880360391104698</v>
      </c>
    </row>
    <row r="26" spans="1:6" x14ac:dyDescent="0.2">
      <c r="A26">
        <v>134</v>
      </c>
      <c r="B26">
        <v>61</v>
      </c>
      <c r="C26">
        <v>44.01</v>
      </c>
      <c r="D26">
        <v>12.05</v>
      </c>
      <c r="E26">
        <v>23.171622736448398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F62E-B2C3-498B-B983-CE322A75A434}">
  <dimension ref="A1:F11"/>
  <sheetViews>
    <sheetView workbookViewId="0">
      <selection activeCell="D19" sqref="D19"/>
    </sheetView>
  </sheetViews>
  <sheetFormatPr baseColWidth="10" defaultColWidth="8.83203125" defaultRowHeight="15" x14ac:dyDescent="0.2"/>
  <sheetData>
    <row r="1" spans="1:6" x14ac:dyDescent="0.2">
      <c r="A1" t="s">
        <v>6</v>
      </c>
      <c r="B1" t="s">
        <v>7</v>
      </c>
      <c r="C1" t="s">
        <v>3</v>
      </c>
      <c r="D1" t="s">
        <v>2</v>
      </c>
      <c r="E1" t="s">
        <v>4</v>
      </c>
      <c r="F1" t="s">
        <v>5</v>
      </c>
    </row>
    <row r="2" spans="1:6" ht="19" x14ac:dyDescent="0.25">
      <c r="A2">
        <v>35</v>
      </c>
      <c r="B2">
        <v>65</v>
      </c>
      <c r="C2">
        <v>43.65</v>
      </c>
      <c r="D2">
        <v>15.54</v>
      </c>
      <c r="E2">
        <v>25.0627926750503</v>
      </c>
      <c r="F2" s="2">
        <v>77.5</v>
      </c>
    </row>
    <row r="3" spans="1:6" ht="19" x14ac:dyDescent="0.25">
      <c r="A3">
        <v>44</v>
      </c>
      <c r="B3">
        <v>72</v>
      </c>
      <c r="C3">
        <v>38.44</v>
      </c>
      <c r="D3">
        <v>16.649999999999999</v>
      </c>
      <c r="E3">
        <v>24.448530804613</v>
      </c>
      <c r="F3" s="2">
        <v>44.64</v>
      </c>
    </row>
    <row r="4" spans="1:6" ht="19" x14ac:dyDescent="0.25">
      <c r="A4">
        <v>55</v>
      </c>
      <c r="B4">
        <v>66</v>
      </c>
      <c r="C4">
        <v>43.63</v>
      </c>
      <c r="D4">
        <v>16.09</v>
      </c>
      <c r="E4">
        <v>25.355177689739399</v>
      </c>
      <c r="F4" s="2">
        <v>275.72000000000003</v>
      </c>
    </row>
    <row r="5" spans="1:6" ht="19" x14ac:dyDescent="0.25">
      <c r="A5">
        <v>60</v>
      </c>
      <c r="B5">
        <v>68</v>
      </c>
      <c r="C5">
        <v>40.619999999999997</v>
      </c>
      <c r="D5">
        <v>15.49</v>
      </c>
      <c r="E5">
        <v>24.326071238206701</v>
      </c>
      <c r="F5" s="2">
        <v>83.61</v>
      </c>
    </row>
    <row r="6" spans="1:6" ht="19" x14ac:dyDescent="0.25">
      <c r="A6">
        <v>66</v>
      </c>
      <c r="B6">
        <v>66</v>
      </c>
      <c r="C6">
        <v>38.43</v>
      </c>
      <c r="D6">
        <v>15.3</v>
      </c>
      <c r="E6">
        <v>23.687888765323699</v>
      </c>
      <c r="F6" s="2">
        <v>53.12</v>
      </c>
    </row>
    <row r="7" spans="1:6" ht="19" x14ac:dyDescent="0.25">
      <c r="A7">
        <v>80</v>
      </c>
      <c r="B7">
        <v>71</v>
      </c>
      <c r="C7">
        <v>40.630000000000003</v>
      </c>
      <c r="D7">
        <v>15.44</v>
      </c>
      <c r="E7">
        <v>24.300554604181301</v>
      </c>
      <c r="F7" s="2">
        <v>50.68</v>
      </c>
    </row>
    <row r="8" spans="1:6" ht="19" x14ac:dyDescent="0.25">
      <c r="A8">
        <v>77</v>
      </c>
      <c r="B8">
        <v>71</v>
      </c>
      <c r="C8">
        <v>35.119999999999997</v>
      </c>
      <c r="D8">
        <v>15.94</v>
      </c>
      <c r="E8">
        <v>23.2278528244317</v>
      </c>
      <c r="F8" s="2">
        <v>46.54</v>
      </c>
    </row>
    <row r="9" spans="1:6" ht="19" x14ac:dyDescent="0.25">
      <c r="A9">
        <v>122</v>
      </c>
      <c r="B9">
        <v>69</v>
      </c>
      <c r="C9">
        <v>38.409999999999997</v>
      </c>
      <c r="D9">
        <v>15.97</v>
      </c>
      <c r="E9">
        <v>24.0623998881936</v>
      </c>
      <c r="F9" s="2">
        <v>36.575000000000003</v>
      </c>
    </row>
    <row r="10" spans="1:6" ht="19" x14ac:dyDescent="0.25">
      <c r="A10">
        <v>139</v>
      </c>
      <c r="B10">
        <v>75</v>
      </c>
      <c r="C10">
        <v>42.52</v>
      </c>
      <c r="D10">
        <v>16.57</v>
      </c>
      <c r="E10">
        <v>25.359632115571898</v>
      </c>
      <c r="F10" s="2">
        <v>83.71</v>
      </c>
    </row>
    <row r="11" spans="1:6" ht="19" x14ac:dyDescent="0.25">
      <c r="A11">
        <v>145</v>
      </c>
      <c r="B11">
        <v>85</v>
      </c>
      <c r="C11">
        <v>41.61</v>
      </c>
      <c r="D11">
        <v>16.2</v>
      </c>
      <c r="E11">
        <v>24.950339124064101</v>
      </c>
      <c r="F11" s="2">
        <v>73.650000000000006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mean</vt:lpstr>
      <vt:lpstr>34C</vt:lpstr>
      <vt:lpstr>36C</vt:lpstr>
      <vt:lpstr>38C</vt:lpstr>
      <vt:lpstr>40C</vt:lpstr>
      <vt:lpstr>12mmHg</vt:lpstr>
      <vt:lpstr>16mmHg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Tony Wolf</dc:creator>
  <cp:lastModifiedBy>Qinqin Kong</cp:lastModifiedBy>
  <dcterms:created xsi:type="dcterms:W3CDTF">2023-11-21T14:19:03Z</dcterms:created>
  <dcterms:modified xsi:type="dcterms:W3CDTF">2026-04-07T23:37:51Z</dcterms:modified>
</cp:coreProperties>
</file>