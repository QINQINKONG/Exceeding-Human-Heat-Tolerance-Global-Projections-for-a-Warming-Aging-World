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qkong/Downloads/larry/limits/adiabatic_Tw/new_age_groups/"/>
    </mc:Choice>
  </mc:AlternateContent>
  <xr:revisionPtr revIDLastSave="0" documentId="13_ncr:1_{355E183C-390B-934E-AB0F-A10D12B2EFCA}" xr6:coauthVersionLast="47" xr6:coauthVersionMax="47" xr10:uidLastSave="{00000000-0000-0000-0000-000000000000}"/>
  <bookViews>
    <workbookView xWindow="0" yWindow="660" windowWidth="30240" windowHeight="17000" xr2:uid="{B20CBDD3-EE54-4F6E-9547-582A37658E93}"/>
  </bookViews>
  <sheets>
    <sheet name="mean" sheetId="7" r:id="rId1"/>
    <sheet name="34C" sheetId="1" r:id="rId2"/>
    <sheet name="36C" sheetId="2" r:id="rId3"/>
    <sheet name="38C" sheetId="3" r:id="rId4"/>
    <sheet name="40C" sheetId="4" r:id="rId5"/>
    <sheet name="12mmHg" sheetId="5" r:id="rId6"/>
    <sheet name="16mmH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A7" i="7"/>
  <c r="B5" i="7"/>
  <c r="A5" i="7"/>
  <c r="B4" i="7"/>
  <c r="A4" i="7"/>
  <c r="B3" i="7"/>
  <c r="A3" i="7"/>
</calcChain>
</file>

<file path=xl/sharedStrings.xml><?xml version="1.0" encoding="utf-8"?>
<sst xmlns="http://schemas.openxmlformats.org/spreadsheetml/2006/main" count="39" uniqueCount="7">
  <si>
    <r>
      <t>T</t>
    </r>
    <r>
      <rPr>
        <vertAlign val="subscript"/>
        <sz val="11"/>
        <color theme="1"/>
        <rFont val="Calibri"/>
        <family val="2"/>
        <scheme val="minor"/>
      </rPr>
      <t>db</t>
    </r>
  </si>
  <si>
    <r>
      <t>P</t>
    </r>
    <r>
      <rPr>
        <vertAlign val="subscript"/>
        <sz val="11"/>
        <color theme="1"/>
        <rFont val="Calibri"/>
        <family val="2"/>
        <scheme val="minor"/>
      </rPr>
      <t>a</t>
    </r>
  </si>
  <si>
    <t>Tw</t>
  </si>
  <si>
    <t>Tdb</t>
  </si>
  <si>
    <t>SR</t>
  </si>
  <si>
    <t>Age</t>
  </si>
  <si>
    <t>Subject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</si>
</sst>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rgb="FF000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2C56-AEB0-5049-A5B6-2C9EF64E40D9}">
  <dimension ref="A1:C7"/>
  <sheetViews>
    <sheetView tabSelected="1" workbookViewId="0">
      <selection activeCell="E9" sqref="E9"/>
    </sheetView>
  </sheetViews>
  <sheetFormatPr baseColWidth="10" defaultRowHeight="15" x14ac:dyDescent="0.2"/>
  <sheetData>
    <row r="1" spans="1:3" x14ac:dyDescent="0.2">
      <c r="A1" t="s">
        <v>3</v>
      </c>
      <c r="B1" t="s">
        <v>2</v>
      </c>
      <c r="C1" t="s">
        <v>4</v>
      </c>
    </row>
    <row r="2" spans="1:3" x14ac:dyDescent="0.2">
      <c r="A2" s="1">
        <v>34.043333333333329</v>
      </c>
      <c r="B2" s="1">
        <v>30.791193331426655</v>
      </c>
      <c r="C2">
        <v>121.77657832357895</v>
      </c>
    </row>
    <row r="3" spans="1:3" x14ac:dyDescent="0.2">
      <c r="A3" s="1">
        <f>AVERAGE('36C'!C2:C15)</f>
        <v>35.984999999999999</v>
      </c>
      <c r="B3" s="1">
        <f>AVERAGE('36C'!E2:E15)</f>
        <v>30.224021299677364</v>
      </c>
      <c r="C3">
        <v>136.39500000000001</v>
      </c>
    </row>
    <row r="4" spans="1:3" x14ac:dyDescent="0.2">
      <c r="A4" s="1">
        <f>AVERAGE('38C'!C2:C13)</f>
        <v>38.089166666666671</v>
      </c>
      <c r="B4" s="1">
        <f>AVERAGE('38C'!E2:E13)</f>
        <v>30.645378033097984</v>
      </c>
      <c r="C4">
        <v>202.38416666666669</v>
      </c>
    </row>
    <row r="5" spans="1:3" x14ac:dyDescent="0.2">
      <c r="A5" s="1">
        <f>AVERAGE('40C'!C2:C14)</f>
        <v>39.984615384615388</v>
      </c>
      <c r="B5" s="1">
        <f>AVERAGE('40C'!E2:E14)</f>
        <v>30.516799888023407</v>
      </c>
      <c r="C5">
        <v>177.83692307692309</v>
      </c>
    </row>
    <row r="6" spans="1:3" x14ac:dyDescent="0.2">
      <c r="A6" s="1">
        <v>49.358421052631577</v>
      </c>
      <c r="B6" s="1">
        <v>24.722425831147991</v>
      </c>
      <c r="C6">
        <v>185.77235294117645</v>
      </c>
    </row>
    <row r="7" spans="1:3" x14ac:dyDescent="0.2">
      <c r="A7" s="1">
        <f>AVERAGE('16mmHg'!C2:C18)</f>
        <v>46.387058823529415</v>
      </c>
      <c r="B7" s="1">
        <f>AVERAGE('16mmHg'!E2:E18)</f>
        <v>26.001540912913413</v>
      </c>
      <c r="C7">
        <v>141.7294117647059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AA94-A2A9-4422-81D4-36DA86A0DD28}">
  <dimension ref="A1:F19"/>
  <sheetViews>
    <sheetView workbookViewId="0">
      <selection activeCell="C21" sqref="C21:F21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</row>
    <row r="2" spans="1:6" ht="19" x14ac:dyDescent="0.25">
      <c r="A2">
        <v>37</v>
      </c>
      <c r="B2">
        <v>21</v>
      </c>
      <c r="C2">
        <v>33.47</v>
      </c>
      <c r="D2">
        <v>30.91</v>
      </c>
      <c r="E2">
        <v>30.296793322386801</v>
      </c>
      <c r="F2" s="2">
        <v>125.39938266925456</v>
      </c>
    </row>
    <row r="3" spans="1:6" ht="19" x14ac:dyDescent="0.25">
      <c r="A3">
        <v>42</v>
      </c>
      <c r="B3">
        <v>19</v>
      </c>
      <c r="C3">
        <v>33.46</v>
      </c>
      <c r="D3">
        <v>29.1</v>
      </c>
      <c r="E3">
        <v>29.502422646119001</v>
      </c>
      <c r="F3" s="2">
        <v>116.188145892981</v>
      </c>
    </row>
    <row r="4" spans="1:6" ht="19" x14ac:dyDescent="0.25">
      <c r="A4">
        <v>41</v>
      </c>
      <c r="B4">
        <v>23</v>
      </c>
      <c r="C4">
        <v>34.090000000000003</v>
      </c>
      <c r="D4">
        <v>30.6</v>
      </c>
      <c r="E4">
        <v>30.286335592131099</v>
      </c>
      <c r="F4" s="2">
        <v>59.434223472417578</v>
      </c>
    </row>
    <row r="5" spans="1:6" ht="19" x14ac:dyDescent="0.25">
      <c r="A5">
        <v>47</v>
      </c>
      <c r="B5">
        <v>19</v>
      </c>
      <c r="C5">
        <v>34.24</v>
      </c>
      <c r="D5">
        <v>30.47</v>
      </c>
      <c r="E5">
        <v>30.260010774429801</v>
      </c>
      <c r="F5" s="2">
        <v>163.24957784783797</v>
      </c>
    </row>
    <row r="6" spans="1:6" ht="19" x14ac:dyDescent="0.25">
      <c r="A6">
        <v>53</v>
      </c>
      <c r="B6">
        <v>22</v>
      </c>
      <c r="C6">
        <v>33.46</v>
      </c>
      <c r="D6">
        <v>30.91</v>
      </c>
      <c r="E6">
        <v>30.294804778383298</v>
      </c>
      <c r="F6" s="2">
        <v>28.875672340592487</v>
      </c>
    </row>
    <row r="7" spans="1:6" ht="19" x14ac:dyDescent="0.25">
      <c r="A7">
        <v>46</v>
      </c>
      <c r="B7">
        <v>21</v>
      </c>
      <c r="C7">
        <v>34.28</v>
      </c>
      <c r="D7">
        <v>32.39</v>
      </c>
      <c r="E7">
        <v>31.082798449058199</v>
      </c>
      <c r="F7" s="2">
        <v>202.88142722296985</v>
      </c>
    </row>
    <row r="8" spans="1:6" ht="19" x14ac:dyDescent="0.25">
      <c r="A8">
        <v>50</v>
      </c>
      <c r="B8">
        <v>21</v>
      </c>
      <c r="C8">
        <v>34.369999999999997</v>
      </c>
      <c r="D8">
        <v>31.68</v>
      </c>
      <c r="E8">
        <v>30.802134826960501</v>
      </c>
      <c r="F8" s="2">
        <v>176.58248200267636</v>
      </c>
    </row>
    <row r="9" spans="1:6" ht="19" x14ac:dyDescent="0.25">
      <c r="A9">
        <v>52</v>
      </c>
      <c r="B9">
        <v>19</v>
      </c>
      <c r="C9">
        <v>34.29</v>
      </c>
      <c r="D9">
        <v>31.35</v>
      </c>
      <c r="E9">
        <v>30.646749602483499</v>
      </c>
      <c r="F9" s="2">
        <v>218.41582081625612</v>
      </c>
    </row>
    <row r="10" spans="1:6" ht="19" x14ac:dyDescent="0.25">
      <c r="A10">
        <v>59</v>
      </c>
      <c r="B10">
        <v>22</v>
      </c>
      <c r="C10">
        <v>33.520000000000003</v>
      </c>
      <c r="D10">
        <v>32.75</v>
      </c>
      <c r="E10">
        <v>31.086450489296301</v>
      </c>
      <c r="F10" s="2">
        <v>92.391130323630207</v>
      </c>
    </row>
    <row r="11" spans="1:6" ht="19" x14ac:dyDescent="0.25">
      <c r="A11">
        <v>27</v>
      </c>
      <c r="B11">
        <v>26</v>
      </c>
      <c r="C11">
        <v>33.82</v>
      </c>
      <c r="D11">
        <v>32.630000000000003</v>
      </c>
      <c r="E11">
        <v>31.0943009450923</v>
      </c>
      <c r="F11" s="2">
        <v>102.20894584036535</v>
      </c>
    </row>
    <row r="12" spans="1:6" ht="19" x14ac:dyDescent="0.25">
      <c r="A12">
        <v>3</v>
      </c>
      <c r="B12">
        <v>25</v>
      </c>
      <c r="C12">
        <v>34.28</v>
      </c>
      <c r="D12">
        <v>29.67</v>
      </c>
      <c r="E12">
        <v>29.920238644350601</v>
      </c>
      <c r="F12" s="2">
        <v>93.84848771690109</v>
      </c>
    </row>
    <row r="13" spans="1:6" ht="19" x14ac:dyDescent="0.25">
      <c r="A13">
        <v>4</v>
      </c>
      <c r="B13">
        <v>23</v>
      </c>
      <c r="C13">
        <v>34.26</v>
      </c>
      <c r="D13">
        <v>34.299999999999997</v>
      </c>
      <c r="E13">
        <v>31.8636139914396</v>
      </c>
      <c r="F13" s="2">
        <v>166.42281166741157</v>
      </c>
    </row>
    <row r="14" spans="1:6" ht="19" x14ac:dyDescent="0.25">
      <c r="A14">
        <v>74</v>
      </c>
      <c r="B14">
        <v>20</v>
      </c>
      <c r="C14">
        <v>33.450000000000003</v>
      </c>
      <c r="D14">
        <v>32.83</v>
      </c>
      <c r="E14">
        <v>31.106285055521099</v>
      </c>
      <c r="F14" s="2">
        <v>134.24634103486036</v>
      </c>
    </row>
    <row r="15" spans="1:6" ht="19" x14ac:dyDescent="0.25">
      <c r="A15">
        <v>32</v>
      </c>
      <c r="B15">
        <v>20</v>
      </c>
      <c r="C15">
        <v>34.29</v>
      </c>
      <c r="D15">
        <v>34.28</v>
      </c>
      <c r="E15">
        <v>31.8611405015237</v>
      </c>
      <c r="F15" s="2">
        <v>24.727647681951016</v>
      </c>
    </row>
    <row r="16" spans="1:6" x14ac:dyDescent="0.2">
      <c r="A16">
        <v>157</v>
      </c>
      <c r="B16">
        <v>38</v>
      </c>
      <c r="C16">
        <v>35</v>
      </c>
      <c r="D16">
        <v>31</v>
      </c>
      <c r="E16">
        <v>30.6366362328666</v>
      </c>
    </row>
    <row r="17" spans="1:5" x14ac:dyDescent="0.2">
      <c r="A17">
        <v>158</v>
      </c>
      <c r="B17">
        <v>36</v>
      </c>
      <c r="C17">
        <v>34</v>
      </c>
      <c r="D17">
        <v>32</v>
      </c>
      <c r="E17">
        <v>30.865146754910999</v>
      </c>
    </row>
    <row r="18" spans="1:5" x14ac:dyDescent="0.2">
      <c r="A18">
        <v>159</v>
      </c>
      <c r="B18">
        <v>38</v>
      </c>
      <c r="C18">
        <v>34</v>
      </c>
      <c r="D18">
        <v>35</v>
      </c>
      <c r="E18">
        <v>32.096793683406403</v>
      </c>
    </row>
    <row r="19" spans="1:5" x14ac:dyDescent="0.2">
      <c r="A19">
        <v>160</v>
      </c>
      <c r="B19">
        <v>38</v>
      </c>
      <c r="C19">
        <v>34.5</v>
      </c>
      <c r="D19">
        <v>31</v>
      </c>
      <c r="E19">
        <v>30.53882367532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0961-7A4D-4483-8AAE-6FD144D4D06D}">
  <dimension ref="A1:F15"/>
  <sheetViews>
    <sheetView workbookViewId="0">
      <selection activeCell="C16" sqref="C16:F16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</row>
    <row r="2" spans="1:6" ht="19" x14ac:dyDescent="0.25">
      <c r="A2">
        <v>11</v>
      </c>
      <c r="B2">
        <v>29</v>
      </c>
      <c r="C2">
        <v>36.200000000000003</v>
      </c>
      <c r="D2">
        <v>30.18</v>
      </c>
      <c r="E2">
        <v>30.5207688496644</v>
      </c>
      <c r="F2" s="2">
        <v>85.98</v>
      </c>
    </row>
    <row r="3" spans="1:6" ht="19" x14ac:dyDescent="0.25">
      <c r="A3">
        <v>8</v>
      </c>
      <c r="B3">
        <v>20</v>
      </c>
      <c r="C3">
        <v>35.840000000000003</v>
      </c>
      <c r="D3">
        <v>28.88</v>
      </c>
      <c r="E3">
        <v>29.886371677873701</v>
      </c>
      <c r="F3" s="2">
        <v>88.09</v>
      </c>
    </row>
    <row r="4" spans="1:6" ht="19" x14ac:dyDescent="0.25">
      <c r="A4">
        <v>3</v>
      </c>
      <c r="B4">
        <v>25</v>
      </c>
      <c r="C4">
        <v>36.520000000000003</v>
      </c>
      <c r="D4">
        <v>27.18</v>
      </c>
      <c r="E4">
        <v>29.267406064726501</v>
      </c>
      <c r="F4" s="2">
        <v>58.44</v>
      </c>
    </row>
    <row r="5" spans="1:6" ht="19" x14ac:dyDescent="0.25">
      <c r="A5">
        <v>6</v>
      </c>
      <c r="B5">
        <v>21</v>
      </c>
      <c r="C5">
        <v>35.99</v>
      </c>
      <c r="D5">
        <v>26.82</v>
      </c>
      <c r="E5">
        <v>28.9957218958053</v>
      </c>
      <c r="F5" s="2">
        <v>34.65</v>
      </c>
    </row>
    <row r="6" spans="1:6" ht="19" x14ac:dyDescent="0.25">
      <c r="A6">
        <v>16</v>
      </c>
      <c r="B6">
        <v>26</v>
      </c>
      <c r="C6">
        <v>35.869999999999997</v>
      </c>
      <c r="D6">
        <v>33.42</v>
      </c>
      <c r="E6">
        <v>31.807670954078301</v>
      </c>
      <c r="F6" s="2">
        <v>224.64</v>
      </c>
    </row>
    <row r="7" spans="1:6" ht="19" x14ac:dyDescent="0.25">
      <c r="A7">
        <v>17</v>
      </c>
      <c r="B7">
        <v>25</v>
      </c>
      <c r="C7">
        <v>35.880000000000003</v>
      </c>
      <c r="D7">
        <v>28.46</v>
      </c>
      <c r="E7">
        <v>29.7093303791012</v>
      </c>
      <c r="F7" s="2">
        <v>159.32</v>
      </c>
    </row>
    <row r="8" spans="1:6" ht="19" x14ac:dyDescent="0.25">
      <c r="A8">
        <v>21</v>
      </c>
      <c r="B8">
        <v>21</v>
      </c>
      <c r="C8">
        <v>35.880000000000003</v>
      </c>
      <c r="D8">
        <v>32.51</v>
      </c>
      <c r="E8">
        <v>31.437513613231399</v>
      </c>
      <c r="F8" s="2">
        <v>97.04</v>
      </c>
    </row>
    <row r="9" spans="1:6" ht="19" x14ac:dyDescent="0.25">
      <c r="A9">
        <v>5</v>
      </c>
      <c r="B9">
        <v>21</v>
      </c>
      <c r="C9">
        <v>35.950000000000003</v>
      </c>
      <c r="D9">
        <v>28.85</v>
      </c>
      <c r="E9">
        <v>29.895163276641501</v>
      </c>
      <c r="F9" s="2">
        <v>32.72</v>
      </c>
    </row>
    <row r="10" spans="1:6" ht="19" x14ac:dyDescent="0.25">
      <c r="A10">
        <v>24</v>
      </c>
      <c r="B10">
        <v>26</v>
      </c>
      <c r="C10">
        <v>35.94</v>
      </c>
      <c r="D10">
        <v>30.14</v>
      </c>
      <c r="E10">
        <v>30.452881738901599</v>
      </c>
      <c r="F10" s="2">
        <v>272.73</v>
      </c>
    </row>
    <row r="11" spans="1:6" ht="19" x14ac:dyDescent="0.25">
      <c r="A11">
        <v>31</v>
      </c>
      <c r="B11">
        <v>29</v>
      </c>
      <c r="C11">
        <v>35.94</v>
      </c>
      <c r="D11">
        <v>32.31</v>
      </c>
      <c r="E11">
        <v>31.366338094298499</v>
      </c>
      <c r="F11" s="2">
        <v>250.42</v>
      </c>
    </row>
    <row r="12" spans="1:6" ht="19" x14ac:dyDescent="0.25">
      <c r="A12">
        <v>27</v>
      </c>
      <c r="B12">
        <v>26</v>
      </c>
      <c r="C12">
        <v>35.94</v>
      </c>
      <c r="D12">
        <v>28.72</v>
      </c>
      <c r="E12">
        <v>29.836041287887401</v>
      </c>
      <c r="F12" s="2">
        <v>272.39</v>
      </c>
    </row>
    <row r="13" spans="1:6" ht="19" x14ac:dyDescent="0.25">
      <c r="A13">
        <v>28</v>
      </c>
      <c r="B13">
        <v>19</v>
      </c>
      <c r="C13">
        <v>35.950000000000003</v>
      </c>
      <c r="D13">
        <v>27.97</v>
      </c>
      <c r="E13">
        <v>29.505842041485</v>
      </c>
      <c r="F13" s="2">
        <v>141.04</v>
      </c>
    </row>
    <row r="14" spans="1:6" ht="19" x14ac:dyDescent="0.25">
      <c r="A14">
        <v>30</v>
      </c>
      <c r="B14">
        <v>29</v>
      </c>
      <c r="C14">
        <v>35.950000000000003</v>
      </c>
      <c r="D14">
        <v>29.58</v>
      </c>
      <c r="E14">
        <v>30.213457575300399</v>
      </c>
      <c r="F14" s="2">
        <v>38.06</v>
      </c>
    </row>
    <row r="15" spans="1:6" ht="19" x14ac:dyDescent="0.25">
      <c r="A15">
        <v>39</v>
      </c>
      <c r="B15">
        <v>22</v>
      </c>
      <c r="C15">
        <v>35.94</v>
      </c>
      <c r="D15">
        <v>29.65</v>
      </c>
      <c r="E15">
        <v>30.241790746487901</v>
      </c>
      <c r="F15" s="2">
        <v>154.01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BE76-749B-4CB9-ACBA-76C259B5CDA1}">
  <dimension ref="A1:F13"/>
  <sheetViews>
    <sheetView workbookViewId="0">
      <selection activeCell="C14" sqref="C14:F14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</row>
    <row r="2" spans="1:6" ht="19" x14ac:dyDescent="0.25">
      <c r="A2">
        <v>9</v>
      </c>
      <c r="B2">
        <v>21</v>
      </c>
      <c r="C2">
        <v>38.229999999999997</v>
      </c>
      <c r="D2">
        <v>30.54</v>
      </c>
      <c r="E2">
        <v>31.0630991652876</v>
      </c>
      <c r="F2" s="2">
        <v>219.36</v>
      </c>
    </row>
    <row r="3" spans="1:6" ht="19" x14ac:dyDescent="0.25">
      <c r="A3">
        <v>5</v>
      </c>
      <c r="B3">
        <v>21</v>
      </c>
      <c r="C3">
        <v>38.25</v>
      </c>
      <c r="D3">
        <v>29.76</v>
      </c>
      <c r="E3">
        <v>30.737768768639</v>
      </c>
      <c r="F3" s="2">
        <v>34.22</v>
      </c>
    </row>
    <row r="4" spans="1:6" ht="19" x14ac:dyDescent="0.25">
      <c r="A4">
        <v>3</v>
      </c>
      <c r="B4">
        <v>25</v>
      </c>
      <c r="C4">
        <v>37.57</v>
      </c>
      <c r="D4">
        <v>32.799999999999997</v>
      </c>
      <c r="E4">
        <v>31.871175207298101</v>
      </c>
      <c r="F4" s="2">
        <v>94.58</v>
      </c>
    </row>
    <row r="5" spans="1:6" ht="19" x14ac:dyDescent="0.25">
      <c r="A5">
        <v>18</v>
      </c>
      <c r="B5">
        <v>20</v>
      </c>
      <c r="C5">
        <v>37.92</v>
      </c>
      <c r="D5">
        <v>25.6</v>
      </c>
      <c r="E5">
        <v>28.834936186449401</v>
      </c>
      <c r="F5" s="2">
        <v>117.53</v>
      </c>
    </row>
    <row r="6" spans="1:6" ht="19" x14ac:dyDescent="0.25">
      <c r="A6">
        <v>23</v>
      </c>
      <c r="B6">
        <v>28</v>
      </c>
      <c r="C6">
        <v>38.049999999999997</v>
      </c>
      <c r="D6">
        <v>28.5</v>
      </c>
      <c r="E6">
        <v>30.157371673434699</v>
      </c>
      <c r="F6" s="2">
        <v>350.41</v>
      </c>
    </row>
    <row r="7" spans="1:6" ht="19" x14ac:dyDescent="0.25">
      <c r="A7">
        <v>7</v>
      </c>
      <c r="B7">
        <v>34</v>
      </c>
      <c r="C7">
        <v>37.61</v>
      </c>
      <c r="D7">
        <v>31.34</v>
      </c>
      <c r="E7">
        <v>31.279766263085801</v>
      </c>
      <c r="F7" s="2">
        <v>298.56</v>
      </c>
    </row>
    <row r="8" spans="1:6" ht="19" x14ac:dyDescent="0.25">
      <c r="A8">
        <v>29</v>
      </c>
      <c r="B8">
        <v>33</v>
      </c>
      <c r="C8">
        <v>37.61</v>
      </c>
      <c r="D8">
        <v>31.7</v>
      </c>
      <c r="E8">
        <v>31.4287847367555</v>
      </c>
      <c r="F8" s="2">
        <v>167.32</v>
      </c>
    </row>
    <row r="9" spans="1:6" ht="19" x14ac:dyDescent="0.25">
      <c r="A9">
        <v>33</v>
      </c>
      <c r="B9">
        <v>18</v>
      </c>
      <c r="C9">
        <v>37.6</v>
      </c>
      <c r="D9">
        <v>28.31</v>
      </c>
      <c r="E9">
        <v>29.9859486823796</v>
      </c>
      <c r="F9" s="2">
        <v>156.08000000000001</v>
      </c>
    </row>
    <row r="10" spans="1:6" ht="19" x14ac:dyDescent="0.25">
      <c r="A10">
        <v>99</v>
      </c>
      <c r="B10">
        <v>22</v>
      </c>
      <c r="C10">
        <v>38.409999999999997</v>
      </c>
      <c r="D10">
        <v>33.29</v>
      </c>
      <c r="E10">
        <v>32.221932017690698</v>
      </c>
      <c r="F10" s="2">
        <v>437.88</v>
      </c>
    </row>
    <row r="11" spans="1:6" ht="19" x14ac:dyDescent="0.25">
      <c r="A11">
        <v>67</v>
      </c>
      <c r="B11">
        <v>25</v>
      </c>
      <c r="C11">
        <v>39.24</v>
      </c>
      <c r="D11">
        <v>27.15</v>
      </c>
      <c r="E11">
        <v>29.799327104349601</v>
      </c>
      <c r="F11" s="2">
        <v>192.19</v>
      </c>
    </row>
    <row r="12" spans="1:6" ht="19" x14ac:dyDescent="0.25">
      <c r="A12">
        <v>103</v>
      </c>
      <c r="B12">
        <v>26</v>
      </c>
      <c r="C12">
        <v>38.17</v>
      </c>
      <c r="D12">
        <v>22.96</v>
      </c>
      <c r="E12">
        <v>27.644005352758299</v>
      </c>
      <c r="F12" s="2">
        <v>136.94</v>
      </c>
    </row>
    <row r="13" spans="1:6" ht="19" x14ac:dyDescent="0.25">
      <c r="A13">
        <v>27</v>
      </c>
      <c r="B13">
        <v>26</v>
      </c>
      <c r="C13">
        <v>38.409999999999997</v>
      </c>
      <c r="D13">
        <v>34.549999999999997</v>
      </c>
      <c r="E13">
        <v>32.720421239047504</v>
      </c>
      <c r="F13" s="2">
        <v>223.54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2AB3-C6E6-4B4E-A5D0-73451A19A466}">
  <dimension ref="A1:F14"/>
  <sheetViews>
    <sheetView workbookViewId="0">
      <selection activeCell="C15" sqref="C15:F15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</row>
    <row r="2" spans="1:6" ht="19" x14ac:dyDescent="0.25">
      <c r="A2">
        <v>2</v>
      </c>
      <c r="B2">
        <v>21</v>
      </c>
      <c r="C2">
        <v>40.04</v>
      </c>
      <c r="D2">
        <v>31.18</v>
      </c>
      <c r="E2">
        <v>31.6657995344091</v>
      </c>
      <c r="F2" s="2">
        <v>142.01</v>
      </c>
    </row>
    <row r="3" spans="1:6" ht="19" x14ac:dyDescent="0.25">
      <c r="A3">
        <v>12</v>
      </c>
      <c r="B3">
        <v>25</v>
      </c>
      <c r="C3">
        <v>39.950000000000003</v>
      </c>
      <c r="D3">
        <v>27.75</v>
      </c>
      <c r="E3">
        <v>30.201346138056898</v>
      </c>
      <c r="F3" s="2">
        <v>48.39</v>
      </c>
    </row>
    <row r="4" spans="1:6" ht="19" x14ac:dyDescent="0.25">
      <c r="A4">
        <v>7</v>
      </c>
      <c r="B4">
        <v>34</v>
      </c>
      <c r="C4">
        <v>39.94</v>
      </c>
      <c r="D4">
        <v>25.19</v>
      </c>
      <c r="E4">
        <v>29.0590107953829</v>
      </c>
      <c r="F4" s="2">
        <v>59.64</v>
      </c>
    </row>
    <row r="5" spans="1:6" ht="19" x14ac:dyDescent="0.25">
      <c r="A5">
        <v>15</v>
      </c>
      <c r="B5">
        <v>24</v>
      </c>
      <c r="C5">
        <v>39.94</v>
      </c>
      <c r="D5">
        <v>24.39</v>
      </c>
      <c r="E5">
        <v>28.691238675519699</v>
      </c>
      <c r="F5" s="2">
        <v>65.88</v>
      </c>
    </row>
    <row r="6" spans="1:6" ht="19" x14ac:dyDescent="0.25">
      <c r="A6">
        <v>1</v>
      </c>
      <c r="B6">
        <v>27</v>
      </c>
      <c r="C6">
        <v>40.380000000000003</v>
      </c>
      <c r="D6">
        <v>28.74</v>
      </c>
      <c r="E6">
        <v>30.7101326857487</v>
      </c>
      <c r="F6" s="2">
        <v>219.77</v>
      </c>
    </row>
    <row r="7" spans="1:6" ht="19" x14ac:dyDescent="0.25">
      <c r="A7">
        <v>20</v>
      </c>
      <c r="B7">
        <v>25</v>
      </c>
      <c r="C7">
        <v>39.840000000000003</v>
      </c>
      <c r="D7">
        <v>29.06</v>
      </c>
      <c r="E7">
        <v>30.7437182668838</v>
      </c>
      <c r="F7" s="2">
        <v>200.69</v>
      </c>
    </row>
    <row r="8" spans="1:6" ht="19" x14ac:dyDescent="0.25">
      <c r="A8">
        <v>4</v>
      </c>
      <c r="B8">
        <v>23</v>
      </c>
      <c r="C8">
        <v>39.700000000000003</v>
      </c>
      <c r="D8">
        <v>27.07</v>
      </c>
      <c r="E8">
        <v>29.854607135239</v>
      </c>
      <c r="F8" s="2">
        <v>198.85</v>
      </c>
    </row>
    <row r="9" spans="1:6" ht="19" x14ac:dyDescent="0.25">
      <c r="A9">
        <v>22</v>
      </c>
      <c r="B9">
        <v>25</v>
      </c>
      <c r="C9">
        <v>39.82</v>
      </c>
      <c r="D9">
        <v>30.56</v>
      </c>
      <c r="E9">
        <v>31.369723690528001</v>
      </c>
      <c r="F9" s="2">
        <v>197.41</v>
      </c>
    </row>
    <row r="10" spans="1:6" ht="19" x14ac:dyDescent="0.25">
      <c r="A10">
        <v>26</v>
      </c>
      <c r="B10">
        <v>20</v>
      </c>
      <c r="C10">
        <v>40.090000000000003</v>
      </c>
      <c r="D10">
        <v>25.76</v>
      </c>
      <c r="E10">
        <v>29.347662014956999</v>
      </c>
      <c r="F10" s="2">
        <v>194.67</v>
      </c>
    </row>
    <row r="11" spans="1:6" ht="19" x14ac:dyDescent="0.25">
      <c r="A11">
        <v>67</v>
      </c>
      <c r="B11">
        <v>25</v>
      </c>
      <c r="C11">
        <v>40.04</v>
      </c>
      <c r="D11">
        <v>25.64</v>
      </c>
      <c r="E11">
        <v>29.283483989738102</v>
      </c>
      <c r="F11" s="2">
        <v>232.13</v>
      </c>
    </row>
    <row r="12" spans="1:6" ht="19" x14ac:dyDescent="0.25">
      <c r="A12">
        <v>103</v>
      </c>
      <c r="B12">
        <v>26</v>
      </c>
      <c r="C12">
        <v>40.020000000000003</v>
      </c>
      <c r="D12">
        <v>28.77</v>
      </c>
      <c r="E12">
        <v>30.654411772784499</v>
      </c>
      <c r="F12" s="2">
        <v>231.57</v>
      </c>
    </row>
    <row r="13" spans="1:6" ht="19" x14ac:dyDescent="0.25">
      <c r="A13">
        <v>27</v>
      </c>
      <c r="B13">
        <v>26</v>
      </c>
      <c r="C13">
        <v>40.020000000000003</v>
      </c>
      <c r="D13">
        <v>34.200000000000003</v>
      </c>
      <c r="E13">
        <v>32.868468466409503</v>
      </c>
      <c r="F13" s="2">
        <v>213.94</v>
      </c>
    </row>
    <row r="14" spans="1:6" ht="19" x14ac:dyDescent="0.25">
      <c r="A14">
        <v>99</v>
      </c>
      <c r="B14">
        <v>22</v>
      </c>
      <c r="C14">
        <v>40.020000000000003</v>
      </c>
      <c r="D14">
        <v>32.68</v>
      </c>
      <c r="E14">
        <v>32.268795378647098</v>
      </c>
      <c r="F14" s="2">
        <v>306.93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EA93-0D8C-4920-8DB0-F6177CB759D6}">
  <dimension ref="A1:F20"/>
  <sheetViews>
    <sheetView workbookViewId="0">
      <selection activeCell="C23" sqref="C23:F23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</row>
    <row r="2" spans="1:6" ht="19" x14ac:dyDescent="0.25">
      <c r="A2">
        <v>2</v>
      </c>
      <c r="B2">
        <v>21</v>
      </c>
      <c r="C2">
        <v>50.12</v>
      </c>
      <c r="D2">
        <v>12.31</v>
      </c>
      <c r="E2">
        <v>24.758063498847601</v>
      </c>
      <c r="F2" s="2">
        <v>121.18</v>
      </c>
    </row>
    <row r="3" spans="1:6" ht="19" x14ac:dyDescent="0.25">
      <c r="A3">
        <v>12</v>
      </c>
      <c r="B3">
        <v>25</v>
      </c>
      <c r="C3">
        <v>52.51</v>
      </c>
      <c r="D3">
        <v>11.76</v>
      </c>
      <c r="E3">
        <v>24.9870099650981</v>
      </c>
      <c r="F3" s="2">
        <v>91.37</v>
      </c>
    </row>
    <row r="4" spans="1:6" ht="19" x14ac:dyDescent="0.25">
      <c r="A4">
        <v>11</v>
      </c>
      <c r="B4">
        <v>29</v>
      </c>
      <c r="C4">
        <v>50.22</v>
      </c>
      <c r="D4">
        <v>11.71</v>
      </c>
      <c r="E4">
        <v>24.443510637912802</v>
      </c>
      <c r="F4" s="2">
        <v>128.63</v>
      </c>
    </row>
    <row r="5" spans="1:6" ht="19" x14ac:dyDescent="0.25">
      <c r="A5">
        <v>5</v>
      </c>
      <c r="B5">
        <v>21</v>
      </c>
      <c r="C5">
        <v>50.87</v>
      </c>
      <c r="D5">
        <v>12.36</v>
      </c>
      <c r="E5">
        <v>24.9544434573525</v>
      </c>
      <c r="F5" s="2">
        <v>120.79</v>
      </c>
    </row>
    <row r="6" spans="1:6" ht="19" x14ac:dyDescent="0.25">
      <c r="A6">
        <v>1</v>
      </c>
      <c r="B6">
        <v>27</v>
      </c>
      <c r="C6">
        <v>47.92</v>
      </c>
      <c r="D6">
        <v>12.37</v>
      </c>
      <c r="E6">
        <v>24.288435737026099</v>
      </c>
      <c r="F6" s="2">
        <v>98.4</v>
      </c>
    </row>
    <row r="7" spans="1:6" ht="19" x14ac:dyDescent="0.25">
      <c r="A7">
        <v>16</v>
      </c>
      <c r="B7">
        <v>26</v>
      </c>
      <c r="C7">
        <v>53.12</v>
      </c>
      <c r="D7">
        <v>12.24</v>
      </c>
      <c r="E7">
        <v>25.385534028661802</v>
      </c>
      <c r="F7" s="2">
        <v>346.69</v>
      </c>
    </row>
    <row r="8" spans="1:6" ht="19" x14ac:dyDescent="0.25">
      <c r="A8">
        <v>17</v>
      </c>
      <c r="B8">
        <v>25</v>
      </c>
      <c r="C8">
        <v>47.46</v>
      </c>
      <c r="D8">
        <v>12.13</v>
      </c>
      <c r="E8">
        <v>24.044465348961602</v>
      </c>
      <c r="F8" s="2">
        <v>242</v>
      </c>
    </row>
    <row r="9" spans="1:6" ht="19" x14ac:dyDescent="0.25">
      <c r="A9">
        <v>23</v>
      </c>
      <c r="B9">
        <v>28</v>
      </c>
      <c r="C9">
        <v>52.8</v>
      </c>
      <c r="D9">
        <v>11.29</v>
      </c>
      <c r="E9">
        <v>24.789294677758999</v>
      </c>
      <c r="F9" s="2">
        <v>302.06</v>
      </c>
    </row>
    <row r="10" spans="1:6" ht="19" x14ac:dyDescent="0.25">
      <c r="A10">
        <v>27</v>
      </c>
      <c r="B10">
        <v>26</v>
      </c>
      <c r="C10">
        <v>50.07</v>
      </c>
      <c r="D10">
        <v>11.87</v>
      </c>
      <c r="E10">
        <v>24.4997470957274</v>
      </c>
      <c r="F10" s="2">
        <v>95.3</v>
      </c>
    </row>
    <row r="11" spans="1:6" ht="19" x14ac:dyDescent="0.25">
      <c r="A11">
        <v>39</v>
      </c>
      <c r="B11">
        <v>22</v>
      </c>
      <c r="C11">
        <v>51.15</v>
      </c>
      <c r="D11">
        <v>11.67</v>
      </c>
      <c r="E11">
        <v>24.632175738433201</v>
      </c>
      <c r="F11" s="2">
        <v>125.77</v>
      </c>
    </row>
    <row r="12" spans="1:6" ht="19" x14ac:dyDescent="0.25">
      <c r="A12">
        <v>47</v>
      </c>
      <c r="B12">
        <v>19</v>
      </c>
      <c r="C12">
        <v>49.26</v>
      </c>
      <c r="D12">
        <v>12.65</v>
      </c>
      <c r="E12">
        <v>24.7530037436333</v>
      </c>
      <c r="F12" s="2">
        <v>134.93</v>
      </c>
    </row>
    <row r="13" spans="1:6" ht="19" x14ac:dyDescent="0.25">
      <c r="A13">
        <v>41</v>
      </c>
      <c r="B13">
        <v>23</v>
      </c>
      <c r="C13">
        <v>46.24</v>
      </c>
      <c r="D13">
        <v>12.7</v>
      </c>
      <c r="E13">
        <v>24.083988477439899</v>
      </c>
      <c r="F13" s="2">
        <v>125.75</v>
      </c>
    </row>
    <row r="14" spans="1:6" ht="19" x14ac:dyDescent="0.25">
      <c r="A14">
        <v>50</v>
      </c>
      <c r="B14">
        <v>21</v>
      </c>
      <c r="C14">
        <v>49.67</v>
      </c>
      <c r="D14">
        <v>12.89</v>
      </c>
      <c r="E14">
        <v>24.978604836848699</v>
      </c>
      <c r="F14" s="2">
        <v>313.04000000000002</v>
      </c>
    </row>
    <row r="15" spans="1:6" ht="19" x14ac:dyDescent="0.25">
      <c r="A15">
        <v>49</v>
      </c>
      <c r="B15">
        <v>22</v>
      </c>
      <c r="C15">
        <v>45.9</v>
      </c>
      <c r="D15">
        <v>12.27</v>
      </c>
      <c r="E15">
        <v>23.756649404555599</v>
      </c>
      <c r="F15" s="2">
        <v>199.14</v>
      </c>
    </row>
    <row r="16" spans="1:6" ht="19" x14ac:dyDescent="0.25">
      <c r="A16">
        <v>56</v>
      </c>
      <c r="B16">
        <v>25</v>
      </c>
      <c r="C16">
        <v>46.74</v>
      </c>
      <c r="D16">
        <v>12.43</v>
      </c>
      <c r="E16">
        <v>24.0472956493151</v>
      </c>
      <c r="F16" s="2">
        <v>434.1</v>
      </c>
    </row>
    <row r="17" spans="1:6" ht="19" x14ac:dyDescent="0.25">
      <c r="A17">
        <v>57</v>
      </c>
      <c r="B17">
        <v>27</v>
      </c>
      <c r="C17">
        <v>46.96</v>
      </c>
      <c r="D17">
        <v>12.23</v>
      </c>
      <c r="E17">
        <v>23.984448734166602</v>
      </c>
      <c r="F17" s="2">
        <v>33.35</v>
      </c>
    </row>
    <row r="18" spans="1:6" ht="19" x14ac:dyDescent="0.25">
      <c r="A18">
        <v>58</v>
      </c>
      <c r="B18">
        <v>18</v>
      </c>
      <c r="C18">
        <v>47.3</v>
      </c>
      <c r="D18">
        <v>12.31</v>
      </c>
      <c r="E18">
        <v>24.1099633748622</v>
      </c>
      <c r="F18" s="2">
        <v>245.63</v>
      </c>
    </row>
    <row r="19" spans="1:6" x14ac:dyDescent="0.2">
      <c r="A19">
        <v>157</v>
      </c>
      <c r="B19">
        <v>38</v>
      </c>
      <c r="C19">
        <v>48.5</v>
      </c>
      <c r="D19">
        <v>14</v>
      </c>
      <c r="E19">
        <v>25.324051555983399</v>
      </c>
    </row>
    <row r="20" spans="1:6" x14ac:dyDescent="0.2">
      <c r="A20">
        <v>159</v>
      </c>
      <c r="B20">
        <v>38</v>
      </c>
      <c r="C20">
        <v>51</v>
      </c>
      <c r="D20">
        <v>18</v>
      </c>
      <c r="E20">
        <v>27.905404829226899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F62E-B2C3-498B-B983-CE322A75A434}">
  <dimension ref="A1:F18"/>
  <sheetViews>
    <sheetView workbookViewId="0">
      <selection activeCell="C19" sqref="C19:F19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4</v>
      </c>
    </row>
    <row r="2" spans="1:6" ht="19" x14ac:dyDescent="0.25">
      <c r="A2">
        <v>3</v>
      </c>
      <c r="B2">
        <v>25</v>
      </c>
      <c r="C2">
        <v>48.24</v>
      </c>
      <c r="D2">
        <v>16.059999999999999</v>
      </c>
      <c r="E2">
        <v>26.358407384186801</v>
      </c>
      <c r="F2" s="2">
        <v>79.790000000000006</v>
      </c>
    </row>
    <row r="3" spans="1:6" ht="19" x14ac:dyDescent="0.25">
      <c r="A3">
        <v>9</v>
      </c>
      <c r="B3">
        <v>21</v>
      </c>
      <c r="C3">
        <v>48.86</v>
      </c>
      <c r="D3">
        <v>16</v>
      </c>
      <c r="E3">
        <v>26.460319626767301</v>
      </c>
      <c r="F3" s="2">
        <v>251.37</v>
      </c>
    </row>
    <row r="4" spans="1:6" ht="19" x14ac:dyDescent="0.25">
      <c r="A4">
        <v>10</v>
      </c>
      <c r="B4">
        <v>19</v>
      </c>
      <c r="C4">
        <v>47.86</v>
      </c>
      <c r="D4">
        <v>16.78</v>
      </c>
      <c r="E4">
        <v>26.647348679245798</v>
      </c>
      <c r="F4" s="2">
        <v>95.07</v>
      </c>
    </row>
    <row r="5" spans="1:6" ht="19" x14ac:dyDescent="0.25">
      <c r="A5">
        <v>6</v>
      </c>
      <c r="B5">
        <v>21</v>
      </c>
      <c r="C5">
        <v>46.27</v>
      </c>
      <c r="D5">
        <v>15.9</v>
      </c>
      <c r="E5">
        <v>25.845459241470099</v>
      </c>
      <c r="F5" s="2">
        <v>73.099999999999994</v>
      </c>
    </row>
    <row r="6" spans="1:6" ht="19" x14ac:dyDescent="0.25">
      <c r="A6">
        <v>15</v>
      </c>
      <c r="B6">
        <v>24</v>
      </c>
      <c r="C6">
        <v>45.34</v>
      </c>
      <c r="D6">
        <v>16.27</v>
      </c>
      <c r="E6">
        <v>25.834761475232</v>
      </c>
      <c r="F6" s="2">
        <v>107.73</v>
      </c>
    </row>
    <row r="7" spans="1:6" ht="19" x14ac:dyDescent="0.25">
      <c r="A7">
        <v>11</v>
      </c>
      <c r="B7">
        <v>29</v>
      </c>
      <c r="C7">
        <v>48.43</v>
      </c>
      <c r="D7">
        <v>16.489999999999998</v>
      </c>
      <c r="E7">
        <v>26.6204547594537</v>
      </c>
      <c r="F7" s="2">
        <v>138.82</v>
      </c>
    </row>
    <row r="8" spans="1:6" ht="19" x14ac:dyDescent="0.25">
      <c r="A8">
        <v>22</v>
      </c>
      <c r="B8">
        <v>25</v>
      </c>
      <c r="C8">
        <v>49.6</v>
      </c>
      <c r="D8">
        <v>17.239999999999998</v>
      </c>
      <c r="E8">
        <v>27.245307939193001</v>
      </c>
      <c r="F8" s="2">
        <v>209.66</v>
      </c>
    </row>
    <row r="9" spans="1:6" ht="19" x14ac:dyDescent="0.25">
      <c r="A9">
        <v>24</v>
      </c>
      <c r="B9">
        <v>26</v>
      </c>
      <c r="C9">
        <v>45.26</v>
      </c>
      <c r="D9">
        <v>16.350000000000001</v>
      </c>
      <c r="E9">
        <v>25.859161992423399</v>
      </c>
      <c r="F9" s="2">
        <v>188.29</v>
      </c>
    </row>
    <row r="10" spans="1:6" ht="19" x14ac:dyDescent="0.25">
      <c r="A10">
        <v>28</v>
      </c>
      <c r="B10">
        <v>19</v>
      </c>
      <c r="C10">
        <v>45.9</v>
      </c>
      <c r="D10">
        <v>15.92</v>
      </c>
      <c r="E10">
        <v>25.7741483741374</v>
      </c>
      <c r="F10" s="2">
        <v>124.33</v>
      </c>
    </row>
    <row r="11" spans="1:6" ht="19" x14ac:dyDescent="0.25">
      <c r="A11">
        <v>31</v>
      </c>
      <c r="B11">
        <v>29</v>
      </c>
      <c r="C11">
        <v>47.79</v>
      </c>
      <c r="D11">
        <v>16.52</v>
      </c>
      <c r="E11">
        <v>26.499122183792402</v>
      </c>
      <c r="F11" s="2">
        <v>148.82</v>
      </c>
    </row>
    <row r="12" spans="1:6" ht="19" x14ac:dyDescent="0.25">
      <c r="A12">
        <v>33</v>
      </c>
      <c r="B12">
        <v>18</v>
      </c>
      <c r="C12">
        <v>44.66</v>
      </c>
      <c r="D12">
        <v>16.52</v>
      </c>
      <c r="E12">
        <v>25.815420146116399</v>
      </c>
      <c r="F12" s="2">
        <v>79.36</v>
      </c>
    </row>
    <row r="13" spans="1:6" ht="19" x14ac:dyDescent="0.25">
      <c r="A13">
        <v>46</v>
      </c>
      <c r="B13">
        <v>21</v>
      </c>
      <c r="C13">
        <v>45.07</v>
      </c>
      <c r="D13">
        <v>16.420000000000002</v>
      </c>
      <c r="E13">
        <v>25.853871972306301</v>
      </c>
      <c r="F13" s="2">
        <v>156.25</v>
      </c>
    </row>
    <row r="14" spans="1:6" ht="19" x14ac:dyDescent="0.25">
      <c r="A14">
        <v>51</v>
      </c>
      <c r="B14">
        <v>23</v>
      </c>
      <c r="C14">
        <v>47.8</v>
      </c>
      <c r="D14">
        <v>15.93</v>
      </c>
      <c r="E14">
        <v>26.195897212721199</v>
      </c>
      <c r="F14" s="2">
        <v>256.26</v>
      </c>
    </row>
    <row r="15" spans="1:6" ht="19" x14ac:dyDescent="0.25">
      <c r="A15">
        <v>53</v>
      </c>
      <c r="B15">
        <v>22</v>
      </c>
      <c r="C15">
        <v>43.9</v>
      </c>
      <c r="D15">
        <v>15.4</v>
      </c>
      <c r="E15">
        <v>25.0440539199335</v>
      </c>
      <c r="F15" s="2">
        <v>62.09</v>
      </c>
    </row>
    <row r="16" spans="1:6" ht="19" x14ac:dyDescent="0.25">
      <c r="A16">
        <v>42</v>
      </c>
      <c r="B16">
        <v>19</v>
      </c>
      <c r="C16">
        <v>45.85</v>
      </c>
      <c r="D16">
        <v>16.11</v>
      </c>
      <c r="E16">
        <v>25.863380356807301</v>
      </c>
      <c r="F16" s="2">
        <v>76.2</v>
      </c>
    </row>
    <row r="17" spans="1:6" ht="19" x14ac:dyDescent="0.25">
      <c r="A17">
        <v>52</v>
      </c>
      <c r="B17">
        <v>19</v>
      </c>
      <c r="C17">
        <v>43.51</v>
      </c>
      <c r="D17">
        <v>15.59</v>
      </c>
      <c r="E17">
        <v>25.0578085896929</v>
      </c>
      <c r="F17" s="2">
        <v>259.5</v>
      </c>
    </row>
    <row r="18" spans="1:6" ht="19" x14ac:dyDescent="0.25">
      <c r="A18">
        <v>32</v>
      </c>
      <c r="B18">
        <v>20</v>
      </c>
      <c r="C18">
        <v>44.24</v>
      </c>
      <c r="D18">
        <v>15.27</v>
      </c>
      <c r="E18">
        <v>25.0512716660485</v>
      </c>
      <c r="F18" s="2">
        <v>102.76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mean</vt:lpstr>
      <vt:lpstr>34C</vt:lpstr>
      <vt:lpstr>36C</vt:lpstr>
      <vt:lpstr>38C</vt:lpstr>
      <vt:lpstr>40C</vt:lpstr>
      <vt:lpstr>12mmHg</vt:lpstr>
      <vt:lpstr>16mmHg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Tony Wolf</dc:creator>
  <cp:lastModifiedBy>Qinqin Kong</cp:lastModifiedBy>
  <dcterms:created xsi:type="dcterms:W3CDTF">2023-11-21T14:19:03Z</dcterms:created>
  <dcterms:modified xsi:type="dcterms:W3CDTF">2026-04-07T23:38:44Z</dcterms:modified>
</cp:coreProperties>
</file>