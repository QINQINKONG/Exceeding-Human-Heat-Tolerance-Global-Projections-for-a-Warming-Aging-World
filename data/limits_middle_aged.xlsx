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qkong/Downloads/larry/limits/adiabatic_Tw/new_age_groups/"/>
    </mc:Choice>
  </mc:AlternateContent>
  <xr:revisionPtr revIDLastSave="0" documentId="13_ncr:1_{C3A4756F-E8BB-9A45-8A83-6EA7CCE5E50F}" xr6:coauthVersionLast="47" xr6:coauthVersionMax="47" xr10:uidLastSave="{00000000-0000-0000-0000-000000000000}"/>
  <bookViews>
    <workbookView xWindow="15600" yWindow="660" windowWidth="13280" windowHeight="17000" xr2:uid="{25D8720C-B8BD-409D-86B4-DF44C3F5363E}"/>
  </bookViews>
  <sheets>
    <sheet name="mean" sheetId="3" r:id="rId1"/>
    <sheet name="34C" sheetId="1" r:id="rId2"/>
    <sheet name="12mmH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2" i="3"/>
  <c r="B3" i="3"/>
  <c r="B2" i="3"/>
</calcChain>
</file>

<file path=xl/sharedStrings.xml><?xml version="1.0" encoding="utf-8"?>
<sst xmlns="http://schemas.openxmlformats.org/spreadsheetml/2006/main" count="15" uniqueCount="6">
  <si>
    <t>Tdb</t>
  </si>
  <si>
    <t>Pa</t>
  </si>
  <si>
    <t>Tw</t>
  </si>
  <si>
    <t>SR</t>
  </si>
  <si>
    <t>Subject #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</si>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</sst>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45FE-0BD4-194C-BF05-13E32A238C73}">
  <dimension ref="A1:C3"/>
  <sheetViews>
    <sheetView tabSelected="1" workbookViewId="0">
      <selection activeCell="C24" sqref="C24"/>
    </sheetView>
  </sheetViews>
  <sheetFormatPr baseColWidth="10" defaultRowHeight="15" x14ac:dyDescent="0.2"/>
  <sheetData>
    <row r="1" spans="1:3" x14ac:dyDescent="0.2">
      <c r="A1" s="1" t="s">
        <v>0</v>
      </c>
      <c r="B1" t="s">
        <v>2</v>
      </c>
      <c r="C1" t="s">
        <v>3</v>
      </c>
    </row>
    <row r="2" spans="1:3" x14ac:dyDescent="0.2">
      <c r="A2">
        <f>AVERAGE('34C'!C2:C25)</f>
        <v>34.451666666666668</v>
      </c>
      <c r="B2">
        <f>AVERAGE('34C'!E2:E25)</f>
        <v>29.723189469504259</v>
      </c>
      <c r="C2">
        <v>92.311111111111131</v>
      </c>
    </row>
    <row r="3" spans="1:3" x14ac:dyDescent="0.2">
      <c r="A3">
        <f>AVERAGE('12mmHg'!C2:C35)</f>
        <v>46.314400000000006</v>
      </c>
      <c r="B3">
        <f>AVERAGE('12mmHg'!E2:E35)</f>
        <v>23.727168133002305</v>
      </c>
      <c r="C3">
        <v>146.17000000000002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93B7-A68B-43D8-BB94-EEEF2DA77DF1}">
  <dimension ref="A1:F29"/>
  <sheetViews>
    <sheetView workbookViewId="0">
      <selection activeCell="C20" sqref="C20:F20"/>
    </sheetView>
  </sheetViews>
  <sheetFormatPr baseColWidth="10" defaultColWidth="8.83203125" defaultRowHeight="15" x14ac:dyDescent="0.2"/>
  <cols>
    <col min="5" max="5" width="15.6640625" bestFit="1" customWidth="1"/>
    <col min="6" max="6" width="11.33203125" bestFit="1" customWidth="1"/>
  </cols>
  <sheetData>
    <row r="1" spans="1:6" x14ac:dyDescent="0.2">
      <c r="A1" t="s">
        <v>4</v>
      </c>
      <c r="B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19" x14ac:dyDescent="0.25">
      <c r="A2">
        <v>78</v>
      </c>
      <c r="B2">
        <v>59</v>
      </c>
      <c r="C2">
        <v>34.29</v>
      </c>
      <c r="D2">
        <v>17.09</v>
      </c>
      <c r="E2">
        <v>23.676787161209099</v>
      </c>
      <c r="F2" s="2">
        <v>36.81</v>
      </c>
    </row>
    <row r="3" spans="1:6" ht="19" x14ac:dyDescent="0.25">
      <c r="A3">
        <v>91</v>
      </c>
      <c r="B3">
        <v>40</v>
      </c>
      <c r="C3">
        <v>33.46</v>
      </c>
      <c r="D3">
        <v>33.08</v>
      </c>
      <c r="E3">
        <v>31.212169570250602</v>
      </c>
      <c r="F3" s="2">
        <v>170.71</v>
      </c>
    </row>
    <row r="4" spans="1:6" ht="19" x14ac:dyDescent="0.25">
      <c r="A4">
        <v>102</v>
      </c>
      <c r="B4">
        <v>59</v>
      </c>
      <c r="C4">
        <v>34.299999999999997</v>
      </c>
      <c r="D4">
        <v>21.55</v>
      </c>
      <c r="E4">
        <v>26.082214232601299</v>
      </c>
      <c r="F4" s="2">
        <v>37.200000000000003</v>
      </c>
    </row>
    <row r="5" spans="1:6" ht="19" x14ac:dyDescent="0.25">
      <c r="A5">
        <v>109</v>
      </c>
      <c r="B5">
        <v>59</v>
      </c>
      <c r="C5">
        <v>34.5</v>
      </c>
      <c r="D5">
        <v>24.8</v>
      </c>
      <c r="E5">
        <v>27.7371504063196</v>
      </c>
      <c r="F5" s="2">
        <v>27.62</v>
      </c>
    </row>
    <row r="6" spans="1:6" ht="19" x14ac:dyDescent="0.25">
      <c r="A6">
        <v>110</v>
      </c>
      <c r="B6">
        <v>54</v>
      </c>
      <c r="C6">
        <v>34.700000000000003</v>
      </c>
      <c r="D6">
        <v>28</v>
      </c>
      <c r="E6">
        <v>29.264472620552102</v>
      </c>
      <c r="F6" s="2">
        <v>63.82</v>
      </c>
    </row>
    <row r="7" spans="1:6" ht="19" x14ac:dyDescent="0.25">
      <c r="A7">
        <v>118</v>
      </c>
      <c r="B7">
        <v>55</v>
      </c>
      <c r="C7">
        <v>34.29</v>
      </c>
      <c r="D7">
        <v>24.15</v>
      </c>
      <c r="E7">
        <v>27.377647870804001</v>
      </c>
      <c r="F7" s="2">
        <v>27</v>
      </c>
    </row>
    <row r="8" spans="1:6" ht="19" x14ac:dyDescent="0.25">
      <c r="A8">
        <v>119</v>
      </c>
      <c r="B8">
        <v>49</v>
      </c>
      <c r="C8">
        <v>34.44</v>
      </c>
      <c r="D8">
        <v>31.61</v>
      </c>
      <c r="E8">
        <v>30.786178102963099</v>
      </c>
      <c r="F8" s="2">
        <v>26.92</v>
      </c>
    </row>
    <row r="9" spans="1:6" ht="19" x14ac:dyDescent="0.25">
      <c r="A9">
        <v>123</v>
      </c>
      <c r="B9">
        <v>41</v>
      </c>
      <c r="C9">
        <v>34.5</v>
      </c>
      <c r="D9">
        <v>29</v>
      </c>
      <c r="E9">
        <v>29.669779817472801</v>
      </c>
      <c r="F9" s="2">
        <v>71.02</v>
      </c>
    </row>
    <row r="10" spans="1:6" ht="19" x14ac:dyDescent="0.25">
      <c r="A10">
        <v>124</v>
      </c>
      <c r="B10">
        <v>46</v>
      </c>
      <c r="C10">
        <v>33.630000000000003</v>
      </c>
      <c r="D10">
        <v>29.72</v>
      </c>
      <c r="E10">
        <v>29.811162925294301</v>
      </c>
      <c r="F10" s="2">
        <v>30.41</v>
      </c>
    </row>
    <row r="11" spans="1:6" ht="19" x14ac:dyDescent="0.25">
      <c r="A11">
        <v>125</v>
      </c>
      <c r="B11">
        <v>54</v>
      </c>
      <c r="C11">
        <v>34.44</v>
      </c>
      <c r="D11">
        <v>34.24</v>
      </c>
      <c r="E11">
        <v>31.873019252847801</v>
      </c>
      <c r="F11" s="2">
        <v>151.37</v>
      </c>
    </row>
    <row r="12" spans="1:6" ht="19" x14ac:dyDescent="0.25">
      <c r="A12">
        <v>128</v>
      </c>
      <c r="B12">
        <v>57</v>
      </c>
      <c r="C12">
        <v>34.97</v>
      </c>
      <c r="D12">
        <v>32.76</v>
      </c>
      <c r="E12">
        <v>31.368331266724098</v>
      </c>
      <c r="F12" s="2">
        <v>122.99</v>
      </c>
    </row>
    <row r="13" spans="1:6" ht="19" x14ac:dyDescent="0.25">
      <c r="A13">
        <v>148</v>
      </c>
      <c r="B13">
        <v>53</v>
      </c>
      <c r="C13">
        <v>34.75</v>
      </c>
      <c r="D13">
        <v>29</v>
      </c>
      <c r="E13">
        <v>29.720328505358999</v>
      </c>
      <c r="F13" s="2">
        <v>31.97</v>
      </c>
    </row>
    <row r="14" spans="1:6" ht="19" x14ac:dyDescent="0.25">
      <c r="A14">
        <v>149</v>
      </c>
      <c r="B14">
        <v>40</v>
      </c>
      <c r="C14">
        <v>34.229999999999997</v>
      </c>
      <c r="D14">
        <v>32.99</v>
      </c>
      <c r="E14">
        <v>31.3224317387042</v>
      </c>
      <c r="F14" s="2">
        <v>120.3</v>
      </c>
    </row>
    <row r="15" spans="1:6" ht="19" x14ac:dyDescent="0.25">
      <c r="A15">
        <v>150</v>
      </c>
      <c r="B15">
        <v>49</v>
      </c>
      <c r="C15">
        <v>34.97</v>
      </c>
      <c r="D15">
        <v>32.29</v>
      </c>
      <c r="E15">
        <v>31.173540262761001</v>
      </c>
      <c r="F15" s="2">
        <v>158.97999999999999</v>
      </c>
    </row>
    <row r="16" spans="1:6" ht="19" x14ac:dyDescent="0.25">
      <c r="A16">
        <v>154</v>
      </c>
      <c r="B16">
        <v>53</v>
      </c>
      <c r="C16">
        <v>34.299999999999997</v>
      </c>
      <c r="D16">
        <v>32</v>
      </c>
      <c r="E16">
        <v>30.923337141750299</v>
      </c>
      <c r="F16" s="2">
        <v>37.89</v>
      </c>
    </row>
    <row r="17" spans="1:6" ht="19" x14ac:dyDescent="0.25">
      <c r="A17">
        <v>155</v>
      </c>
      <c r="B17">
        <v>53</v>
      </c>
      <c r="C17">
        <v>34.96</v>
      </c>
      <c r="D17">
        <v>28.64</v>
      </c>
      <c r="E17">
        <v>29.603444020387599</v>
      </c>
      <c r="F17" s="2">
        <v>262.47000000000003</v>
      </c>
    </row>
    <row r="18" spans="1:6" ht="19" x14ac:dyDescent="0.25">
      <c r="A18">
        <v>156</v>
      </c>
      <c r="B18">
        <v>45</v>
      </c>
      <c r="C18">
        <v>34.9</v>
      </c>
      <c r="D18">
        <v>35.479999999999997</v>
      </c>
      <c r="E18">
        <v>32.453396613732302</v>
      </c>
      <c r="F18" s="2">
        <v>130.25</v>
      </c>
    </row>
    <row r="19" spans="1:6" ht="19" x14ac:dyDescent="0.25">
      <c r="A19">
        <v>168</v>
      </c>
      <c r="B19">
        <v>52</v>
      </c>
      <c r="C19">
        <v>34.5</v>
      </c>
      <c r="D19">
        <v>32</v>
      </c>
      <c r="E19">
        <v>30.962018941343398</v>
      </c>
      <c r="F19" s="2">
        <v>153.87</v>
      </c>
    </row>
    <row r="21" spans="1:6" ht="19" x14ac:dyDescent="0.25">
      <c r="F21" s="2"/>
    </row>
    <row r="22" spans="1:6" ht="19" x14ac:dyDescent="0.25">
      <c r="F22" s="2"/>
    </row>
    <row r="23" spans="1:6" ht="19" x14ac:dyDescent="0.25">
      <c r="F23" s="2"/>
    </row>
    <row r="24" spans="1:6" ht="19" x14ac:dyDescent="0.25">
      <c r="F24" s="2"/>
    </row>
    <row r="25" spans="1:6" ht="19" x14ac:dyDescent="0.25">
      <c r="F25" s="2"/>
    </row>
    <row r="26" spans="1:6" ht="19" x14ac:dyDescent="0.25">
      <c r="F26" s="2"/>
    </row>
    <row r="27" spans="1:6" ht="19" x14ac:dyDescent="0.25">
      <c r="F27" s="2"/>
    </row>
    <row r="28" spans="1:6" ht="19" x14ac:dyDescent="0.25">
      <c r="F28" s="2"/>
    </row>
    <row r="29" spans="1:6" ht="19" x14ac:dyDescent="0.25">
      <c r="F29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560B-AED8-4EAF-8F5B-C0D2F048D9F8}">
  <dimension ref="A1:F37"/>
  <sheetViews>
    <sheetView workbookViewId="0">
      <selection activeCell="C27" sqref="C27:F27"/>
    </sheetView>
  </sheetViews>
  <sheetFormatPr baseColWidth="10" defaultColWidth="8.83203125" defaultRowHeight="15" x14ac:dyDescent="0.2"/>
  <sheetData>
    <row r="1" spans="1:6" x14ac:dyDescent="0.2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 ht="19" x14ac:dyDescent="0.25">
      <c r="A2">
        <v>78</v>
      </c>
      <c r="B2">
        <v>59</v>
      </c>
      <c r="C2">
        <v>40.01</v>
      </c>
      <c r="D2">
        <v>11.67</v>
      </c>
      <c r="E2">
        <v>21.932524767677101</v>
      </c>
      <c r="F2" s="2">
        <v>58.79</v>
      </c>
    </row>
    <row r="3" spans="1:6" ht="19" x14ac:dyDescent="0.25">
      <c r="A3">
        <v>88</v>
      </c>
      <c r="B3">
        <v>54</v>
      </c>
      <c r="C3">
        <v>45.07</v>
      </c>
      <c r="D3">
        <v>12.14</v>
      </c>
      <c r="E3">
        <v>23.482170460488099</v>
      </c>
      <c r="F3" s="2">
        <v>134.88999999999999</v>
      </c>
    </row>
    <row r="4" spans="1:6" ht="19" x14ac:dyDescent="0.25">
      <c r="A4">
        <v>91</v>
      </c>
      <c r="B4">
        <v>40</v>
      </c>
      <c r="C4">
        <v>50.37</v>
      </c>
      <c r="D4">
        <v>10.69</v>
      </c>
      <c r="E4">
        <v>23.893122518546999</v>
      </c>
      <c r="F4" s="2">
        <v>172.87</v>
      </c>
    </row>
    <row r="5" spans="1:6" ht="19" x14ac:dyDescent="0.25">
      <c r="A5">
        <v>102</v>
      </c>
      <c r="B5">
        <v>60</v>
      </c>
      <c r="C5">
        <v>41.68</v>
      </c>
      <c r="D5">
        <v>11.4</v>
      </c>
      <c r="E5">
        <v>22.196989991353298</v>
      </c>
      <c r="F5" s="2"/>
    </row>
    <row r="6" spans="1:6" ht="19" x14ac:dyDescent="0.25">
      <c r="A6">
        <v>109</v>
      </c>
      <c r="B6">
        <v>59</v>
      </c>
      <c r="C6">
        <v>38.43</v>
      </c>
      <c r="D6">
        <v>11.16</v>
      </c>
      <c r="E6">
        <v>21.195318313622899</v>
      </c>
      <c r="F6" s="2">
        <v>92.15</v>
      </c>
    </row>
    <row r="7" spans="1:6" ht="19" x14ac:dyDescent="0.25">
      <c r="A7">
        <v>110</v>
      </c>
      <c r="B7">
        <v>54</v>
      </c>
      <c r="C7">
        <v>46.69</v>
      </c>
      <c r="D7">
        <v>11.47</v>
      </c>
      <c r="E7">
        <v>23.479489539561701</v>
      </c>
      <c r="F7" s="2">
        <v>53.14</v>
      </c>
    </row>
    <row r="8" spans="1:6" ht="19" x14ac:dyDescent="0.25">
      <c r="A8">
        <v>114</v>
      </c>
      <c r="B8">
        <v>55</v>
      </c>
      <c r="C8">
        <v>49.45</v>
      </c>
      <c r="D8">
        <v>11.21</v>
      </c>
      <c r="E8">
        <v>23.980125318726699</v>
      </c>
      <c r="F8" s="2">
        <v>103.38</v>
      </c>
    </row>
    <row r="9" spans="1:6" ht="19" x14ac:dyDescent="0.25">
      <c r="A9">
        <v>118</v>
      </c>
      <c r="B9">
        <v>55</v>
      </c>
      <c r="C9">
        <v>44.24</v>
      </c>
      <c r="D9">
        <v>11.83</v>
      </c>
      <c r="E9">
        <v>23.097764478025798</v>
      </c>
      <c r="F9" s="2"/>
    </row>
    <row r="10" spans="1:6" ht="19" x14ac:dyDescent="0.25">
      <c r="A10">
        <v>119</v>
      </c>
      <c r="B10">
        <v>49</v>
      </c>
      <c r="C10">
        <v>43.16</v>
      </c>
      <c r="D10">
        <v>12.19</v>
      </c>
      <c r="E10">
        <v>23.045458763560099</v>
      </c>
      <c r="F10" s="2">
        <v>33.700000000000003</v>
      </c>
    </row>
    <row r="11" spans="1:6" ht="19" x14ac:dyDescent="0.25">
      <c r="A11">
        <v>123</v>
      </c>
      <c r="B11">
        <v>41</v>
      </c>
      <c r="C11">
        <v>43.62</v>
      </c>
      <c r="D11">
        <v>12.48</v>
      </c>
      <c r="E11">
        <v>23.329345341476301</v>
      </c>
      <c r="F11" s="2">
        <v>26.52</v>
      </c>
    </row>
    <row r="12" spans="1:6" ht="19" x14ac:dyDescent="0.25">
      <c r="A12">
        <v>124</v>
      </c>
      <c r="B12">
        <v>46</v>
      </c>
      <c r="C12">
        <v>47.2</v>
      </c>
      <c r="D12">
        <v>11.75</v>
      </c>
      <c r="E12">
        <v>23.764253156792599</v>
      </c>
      <c r="F12" s="2">
        <v>29.12</v>
      </c>
    </row>
    <row r="13" spans="1:6" ht="19" x14ac:dyDescent="0.25">
      <c r="A13">
        <v>125</v>
      </c>
      <c r="B13">
        <v>54</v>
      </c>
      <c r="C13">
        <v>49.52</v>
      </c>
      <c r="D13">
        <v>12.22</v>
      </c>
      <c r="E13">
        <v>24.571505955648</v>
      </c>
      <c r="F13" s="2">
        <v>217.35</v>
      </c>
    </row>
    <row r="14" spans="1:6" ht="19" x14ac:dyDescent="0.25">
      <c r="A14">
        <v>130</v>
      </c>
      <c r="B14">
        <v>49</v>
      </c>
      <c r="C14">
        <v>51.97</v>
      </c>
      <c r="D14">
        <v>12.29</v>
      </c>
      <c r="E14">
        <v>25.1603626688599</v>
      </c>
      <c r="F14" s="2">
        <v>182.66</v>
      </c>
    </row>
    <row r="15" spans="1:6" ht="19" x14ac:dyDescent="0.25">
      <c r="A15">
        <v>137</v>
      </c>
      <c r="B15">
        <v>45</v>
      </c>
      <c r="C15">
        <v>46.79</v>
      </c>
      <c r="D15">
        <v>11.85</v>
      </c>
      <c r="E15">
        <v>23.7250285456177</v>
      </c>
      <c r="F15" s="2">
        <v>29.53</v>
      </c>
    </row>
    <row r="16" spans="1:6" ht="19" x14ac:dyDescent="0.25">
      <c r="A16">
        <v>147</v>
      </c>
      <c r="B16">
        <v>56</v>
      </c>
      <c r="C16">
        <v>51.96</v>
      </c>
      <c r="D16">
        <v>12.33</v>
      </c>
      <c r="E16">
        <v>25.180151137881499</v>
      </c>
      <c r="F16" s="2">
        <v>236.19</v>
      </c>
    </row>
    <row r="17" spans="1:6" ht="19" x14ac:dyDescent="0.25">
      <c r="A17">
        <v>148</v>
      </c>
      <c r="B17">
        <v>53</v>
      </c>
      <c r="C17">
        <v>45.5</v>
      </c>
      <c r="D17">
        <v>14.5</v>
      </c>
      <c r="E17">
        <v>24.9190664172542</v>
      </c>
      <c r="F17" s="2">
        <v>111.89</v>
      </c>
    </row>
    <row r="18" spans="1:6" ht="19" x14ac:dyDescent="0.25">
      <c r="A18">
        <v>149</v>
      </c>
      <c r="B18">
        <v>49</v>
      </c>
      <c r="C18">
        <v>47.71</v>
      </c>
      <c r="D18">
        <v>11.95</v>
      </c>
      <c r="E18">
        <v>23.999787132391798</v>
      </c>
      <c r="F18" s="2">
        <v>209.63</v>
      </c>
    </row>
    <row r="19" spans="1:6" ht="19" x14ac:dyDescent="0.25">
      <c r="A19">
        <v>150</v>
      </c>
      <c r="B19">
        <v>49</v>
      </c>
      <c r="C19">
        <v>43.3</v>
      </c>
      <c r="D19">
        <v>14</v>
      </c>
      <c r="E19">
        <v>24.127419165848</v>
      </c>
      <c r="F19" s="2">
        <v>174.69</v>
      </c>
    </row>
    <row r="20" spans="1:6" ht="19" x14ac:dyDescent="0.25">
      <c r="A20">
        <v>151</v>
      </c>
      <c r="B20">
        <v>42</v>
      </c>
      <c r="C20">
        <v>46.5</v>
      </c>
      <c r="D20">
        <v>12</v>
      </c>
      <c r="E20">
        <v>23.743103361373301</v>
      </c>
      <c r="F20" s="2">
        <v>190.4</v>
      </c>
    </row>
    <row r="21" spans="1:6" ht="17.25" customHeight="1" x14ac:dyDescent="0.25">
      <c r="A21">
        <v>155</v>
      </c>
      <c r="B21">
        <v>53</v>
      </c>
      <c r="C21">
        <v>43.19</v>
      </c>
      <c r="D21">
        <v>13.7</v>
      </c>
      <c r="E21">
        <v>23.930804515941801</v>
      </c>
      <c r="F21" s="2">
        <v>242.5</v>
      </c>
    </row>
    <row r="22" spans="1:6" ht="19" x14ac:dyDescent="0.25">
      <c r="A22">
        <v>154</v>
      </c>
      <c r="B22">
        <v>53</v>
      </c>
      <c r="C22">
        <v>48</v>
      </c>
      <c r="D22">
        <v>11</v>
      </c>
      <c r="E22">
        <v>23.516479395223499</v>
      </c>
      <c r="F22" s="2">
        <v>149.94</v>
      </c>
    </row>
    <row r="23" spans="1:6" ht="19" x14ac:dyDescent="0.25">
      <c r="A23">
        <v>168</v>
      </c>
      <c r="B23">
        <v>52</v>
      </c>
      <c r="C23">
        <v>49.5</v>
      </c>
      <c r="D23">
        <v>13</v>
      </c>
      <c r="E23">
        <v>25.0011063549745</v>
      </c>
      <c r="F23" s="2">
        <v>187.75</v>
      </c>
    </row>
    <row r="24" spans="1:6" ht="19" x14ac:dyDescent="0.25">
      <c r="A24">
        <v>169</v>
      </c>
      <c r="B24">
        <v>44</v>
      </c>
      <c r="C24">
        <v>44</v>
      </c>
      <c r="D24">
        <v>12</v>
      </c>
      <c r="E24">
        <v>23.139607588146401</v>
      </c>
      <c r="F24" s="2">
        <v>250.62</v>
      </c>
    </row>
    <row r="25" spans="1:6" ht="19" x14ac:dyDescent="0.25">
      <c r="A25">
        <v>167</v>
      </c>
      <c r="B25">
        <v>51</v>
      </c>
      <c r="C25">
        <v>49</v>
      </c>
      <c r="D25">
        <v>11.4</v>
      </c>
      <c r="E25">
        <v>23.984875309110802</v>
      </c>
      <c r="F25" s="2">
        <v>238.92</v>
      </c>
    </row>
    <row r="26" spans="1:6" ht="19" x14ac:dyDescent="0.25">
      <c r="A26">
        <v>128</v>
      </c>
      <c r="B26">
        <v>57</v>
      </c>
      <c r="C26">
        <v>51</v>
      </c>
      <c r="D26">
        <v>12</v>
      </c>
      <c r="E26">
        <v>24.783343126954701</v>
      </c>
      <c r="F26" s="2">
        <v>235.28</v>
      </c>
    </row>
    <row r="28" spans="1:6" ht="19" x14ac:dyDescent="0.25">
      <c r="F28" s="2"/>
    </row>
    <row r="29" spans="1:6" ht="19" x14ac:dyDescent="0.25">
      <c r="F29" s="2"/>
    </row>
    <row r="30" spans="1:6" ht="19" x14ac:dyDescent="0.25">
      <c r="F30" s="2"/>
    </row>
    <row r="31" spans="1:6" ht="19" x14ac:dyDescent="0.25">
      <c r="F31" s="2"/>
    </row>
    <row r="32" spans="1:6" ht="19" x14ac:dyDescent="0.25">
      <c r="F32" s="2"/>
    </row>
    <row r="33" spans="6:6" ht="19" x14ac:dyDescent="0.25">
      <c r="F33" s="2"/>
    </row>
    <row r="34" spans="6:6" ht="19" x14ac:dyDescent="0.25">
      <c r="F34" s="2"/>
    </row>
    <row r="35" spans="6:6" ht="19" x14ac:dyDescent="0.25">
      <c r="F35" s="2"/>
    </row>
    <row r="36" spans="6:6" ht="19" x14ac:dyDescent="0.25">
      <c r="F36" s="2"/>
    </row>
    <row r="37" spans="6:6" ht="19" x14ac:dyDescent="0.25">
      <c r="F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</vt:lpstr>
      <vt:lpstr>34C</vt:lpstr>
      <vt:lpstr>12mmHg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Cottle, Rachel Marie</dc:creator>
  <cp:lastModifiedBy>Qinqin Kong</cp:lastModifiedBy>
  <dcterms:created xsi:type="dcterms:W3CDTF">2025-05-02T13:01:23Z</dcterms:created>
  <dcterms:modified xsi:type="dcterms:W3CDTF">2026-04-07T23:31:40Z</dcterms:modified>
</cp:coreProperties>
</file>