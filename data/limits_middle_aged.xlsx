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qqkong/Downloads/limits/"/>
    </mc:Choice>
  </mc:AlternateContent>
  <xr:revisionPtr revIDLastSave="0" documentId="13_ncr:1_{088487AD-3033-8D46-BB24-E893A8C0C3E1}" xr6:coauthVersionLast="47" xr6:coauthVersionMax="47" xr10:uidLastSave="{00000000-0000-0000-0000-000000000000}"/>
  <bookViews>
    <workbookView xWindow="0" yWindow="500" windowWidth="38400" windowHeight="19320" xr2:uid="{25D8720C-B8BD-409D-86B4-DF44C3F5363E}"/>
  </bookViews>
  <sheets>
    <sheet name="mean" sheetId="3" r:id="rId1"/>
    <sheet name="34C" sheetId="1" r:id="rId2"/>
    <sheet name="12mmH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A3" i="3"/>
  <c r="B2" i="3"/>
  <c r="A2" i="3"/>
</calcChain>
</file>

<file path=xl/sharedStrings.xml><?xml version="1.0" encoding="utf-8"?>
<sst xmlns="http://schemas.openxmlformats.org/spreadsheetml/2006/main" count="8" uniqueCount="3">
  <si>
    <t>Tdb</t>
  </si>
  <si>
    <t>Pa</t>
  </si>
  <si>
    <t>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</si>
</sst>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000000"/>
      <name val="Courier New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A45FE-0BD4-194C-BF05-13E32A238C73}">
  <dimension ref="A1:B3"/>
  <sheetViews>
    <sheetView tabSelected="1" workbookViewId="0">
      <selection activeCell="F10" sqref="F10"/>
    </sheetView>
  </sheetViews>
  <sheetFormatPr baseColWidth="10" defaultRowHeight="15" x14ac:dyDescent="0.2"/>
  <sheetData>
    <row r="1" spans="1:2" x14ac:dyDescent="0.2">
      <c r="A1" s="1" t="s">
        <v>0</v>
      </c>
      <c r="B1" t="s">
        <v>2</v>
      </c>
    </row>
    <row r="2" spans="1:2" x14ac:dyDescent="0.2">
      <c r="A2">
        <f>AVERAGE('34C'!A2:A29)</f>
        <v>34.366785714285712</v>
      </c>
      <c r="B2">
        <f>AVERAGE('34C'!C2:C29)</f>
        <v>29.748343480195292</v>
      </c>
    </row>
    <row r="3" spans="1:2" x14ac:dyDescent="0.2">
      <c r="A3">
        <f>AVERAGE('12mmHg'!A2:A37)</f>
        <v>45.643055555555556</v>
      </c>
      <c r="B3">
        <f>AVERAGE('12mmHg'!C2:C37)</f>
        <v>23.633744708068164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793B7-A68B-43D8-BB94-EEEF2DA77DF1}">
  <dimension ref="A1:D29"/>
  <sheetViews>
    <sheetView workbookViewId="0">
      <selection activeCell="A30" sqref="A30:C30"/>
    </sheetView>
  </sheetViews>
  <sheetFormatPr baseColWidth="10" defaultColWidth="8.83203125" defaultRowHeight="15" x14ac:dyDescent="0.2"/>
  <cols>
    <col min="3" max="3" width="15.6640625" bestFit="1" customWidth="1"/>
    <col min="4" max="4" width="11.33203125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/>
    </row>
    <row r="2" spans="1:4" ht="19" x14ac:dyDescent="0.25">
      <c r="A2">
        <v>34.29</v>
      </c>
      <c r="B2">
        <v>17.09</v>
      </c>
      <c r="C2">
        <v>23.676787161209099</v>
      </c>
      <c r="D2" s="2"/>
    </row>
    <row r="3" spans="1:4" ht="19" x14ac:dyDescent="0.25">
      <c r="A3">
        <v>33.46</v>
      </c>
      <c r="B3">
        <v>33.08</v>
      </c>
      <c r="C3">
        <v>31.212169570250602</v>
      </c>
      <c r="D3" s="2"/>
    </row>
    <row r="4" spans="1:4" ht="19" x14ac:dyDescent="0.25">
      <c r="A4">
        <v>34.299999999999997</v>
      </c>
      <c r="B4">
        <v>21.55</v>
      </c>
      <c r="C4">
        <v>26.082214232601299</v>
      </c>
      <c r="D4" s="2"/>
    </row>
    <row r="5" spans="1:4" ht="19" x14ac:dyDescent="0.25">
      <c r="A5">
        <v>34.5</v>
      </c>
      <c r="B5">
        <v>24.8</v>
      </c>
      <c r="C5">
        <v>27.7371504063196</v>
      </c>
      <c r="D5" s="2"/>
    </row>
    <row r="6" spans="1:4" ht="19" x14ac:dyDescent="0.25">
      <c r="A6">
        <v>34.700000000000003</v>
      </c>
      <c r="B6">
        <v>28</v>
      </c>
      <c r="C6">
        <v>29.264472620552102</v>
      </c>
      <c r="D6" s="2"/>
    </row>
    <row r="7" spans="1:4" ht="19" x14ac:dyDescent="0.25">
      <c r="A7">
        <v>34.29</v>
      </c>
      <c r="B7">
        <v>24.15</v>
      </c>
      <c r="C7">
        <v>27.377647870804001</v>
      </c>
      <c r="D7" s="2"/>
    </row>
    <row r="8" spans="1:4" ht="19" x14ac:dyDescent="0.25">
      <c r="A8">
        <v>34.44</v>
      </c>
      <c r="B8">
        <v>31.61</v>
      </c>
      <c r="C8">
        <v>30.786178102963099</v>
      </c>
      <c r="D8" s="2"/>
    </row>
    <row r="9" spans="1:4" ht="19" x14ac:dyDescent="0.25">
      <c r="A9">
        <v>34.5</v>
      </c>
      <c r="B9">
        <v>29</v>
      </c>
      <c r="C9">
        <v>29.669779817472801</v>
      </c>
      <c r="D9" s="2"/>
    </row>
    <row r="10" spans="1:4" ht="19" x14ac:dyDescent="0.25">
      <c r="A10">
        <v>33.630000000000003</v>
      </c>
      <c r="B10">
        <v>29.72</v>
      </c>
      <c r="C10">
        <v>29.811162925294301</v>
      </c>
      <c r="D10" s="2"/>
    </row>
    <row r="11" spans="1:4" ht="19" x14ac:dyDescent="0.25">
      <c r="A11">
        <v>34.44</v>
      </c>
      <c r="B11">
        <v>34.24</v>
      </c>
      <c r="C11">
        <v>31.873019252847801</v>
      </c>
      <c r="D11" s="2"/>
    </row>
    <row r="12" spans="1:4" ht="19" x14ac:dyDescent="0.25">
      <c r="A12">
        <v>34.97</v>
      </c>
      <c r="B12">
        <v>32.76</v>
      </c>
      <c r="C12">
        <v>31.368331266724098</v>
      </c>
      <c r="D12" s="2"/>
    </row>
    <row r="13" spans="1:4" ht="19" x14ac:dyDescent="0.25">
      <c r="A13">
        <v>34.75</v>
      </c>
      <c r="B13">
        <v>29</v>
      </c>
      <c r="C13">
        <v>29.720328505358999</v>
      </c>
      <c r="D13" s="2"/>
    </row>
    <row r="14" spans="1:4" ht="19" x14ac:dyDescent="0.25">
      <c r="A14">
        <v>34.229999999999997</v>
      </c>
      <c r="B14">
        <v>32.99</v>
      </c>
      <c r="C14">
        <v>31.3224317387042</v>
      </c>
      <c r="D14" s="2"/>
    </row>
    <row r="15" spans="1:4" ht="19" x14ac:dyDescent="0.25">
      <c r="A15">
        <v>34.97</v>
      </c>
      <c r="B15">
        <v>32.29</v>
      </c>
      <c r="C15">
        <v>31.173540262761001</v>
      </c>
      <c r="D15" s="2"/>
    </row>
    <row r="16" spans="1:4" ht="19" x14ac:dyDescent="0.25">
      <c r="A16">
        <v>34.299999999999997</v>
      </c>
      <c r="B16">
        <v>32</v>
      </c>
      <c r="C16">
        <v>30.923337141750299</v>
      </c>
      <c r="D16" s="2"/>
    </row>
    <row r="17" spans="1:4" ht="19" x14ac:dyDescent="0.25">
      <c r="A17">
        <v>34.96</v>
      </c>
      <c r="B17">
        <v>28.64</v>
      </c>
      <c r="C17">
        <v>29.603444020387599</v>
      </c>
      <c r="D17" s="2"/>
    </row>
    <row r="18" spans="1:4" ht="19" x14ac:dyDescent="0.25">
      <c r="A18">
        <v>34.9</v>
      </c>
      <c r="B18">
        <v>35.479999999999997</v>
      </c>
      <c r="C18">
        <v>32.453396613732302</v>
      </c>
      <c r="D18" s="2"/>
    </row>
    <row r="19" spans="1:4" ht="19" x14ac:dyDescent="0.25">
      <c r="A19">
        <v>34.5</v>
      </c>
      <c r="B19">
        <v>32</v>
      </c>
      <c r="C19">
        <v>30.962018941343398</v>
      </c>
      <c r="D19" s="2"/>
    </row>
    <row r="20" spans="1:4" ht="19" x14ac:dyDescent="0.25">
      <c r="A20">
        <v>34.29</v>
      </c>
      <c r="B20">
        <v>23.58</v>
      </c>
      <c r="C20">
        <v>27.0990412134895</v>
      </c>
      <c r="D20" s="2"/>
    </row>
    <row r="21" spans="1:4" ht="19" x14ac:dyDescent="0.25">
      <c r="A21">
        <v>33.5</v>
      </c>
      <c r="B21">
        <v>17.41</v>
      </c>
      <c r="C21">
        <v>23.659486468696901</v>
      </c>
      <c r="D21" s="2"/>
    </row>
    <row r="22" spans="1:4" ht="19" x14ac:dyDescent="0.25">
      <c r="A22">
        <v>34.29</v>
      </c>
      <c r="B22">
        <v>32.33</v>
      </c>
      <c r="C22">
        <v>31.059667814332201</v>
      </c>
      <c r="D22" s="2"/>
    </row>
    <row r="23" spans="1:4" ht="19" x14ac:dyDescent="0.25">
      <c r="A23">
        <v>33.46</v>
      </c>
      <c r="B23">
        <v>33.08</v>
      </c>
      <c r="C23">
        <v>31.212169570250602</v>
      </c>
      <c r="D23" s="2"/>
    </row>
    <row r="24" spans="1:4" ht="19" x14ac:dyDescent="0.25">
      <c r="A24">
        <v>34.159999999999997</v>
      </c>
      <c r="B24">
        <v>25.95</v>
      </c>
      <c r="C24">
        <v>28.209243621693801</v>
      </c>
      <c r="D24" s="2"/>
    </row>
    <row r="25" spans="1:4" ht="19" x14ac:dyDescent="0.25">
      <c r="A25">
        <v>34.94</v>
      </c>
      <c r="B25">
        <v>35.729999999999997</v>
      </c>
      <c r="C25">
        <v>32.559197959424402</v>
      </c>
      <c r="D25" s="2"/>
    </row>
    <row r="26" spans="1:4" ht="19" x14ac:dyDescent="0.25">
      <c r="A26">
        <v>35</v>
      </c>
      <c r="B26">
        <v>31</v>
      </c>
      <c r="C26">
        <v>30.6366362328666</v>
      </c>
      <c r="D26" s="2"/>
    </row>
    <row r="27" spans="1:4" ht="19" x14ac:dyDescent="0.25">
      <c r="A27">
        <v>34</v>
      </c>
      <c r="B27">
        <v>32</v>
      </c>
      <c r="C27">
        <v>30.865146754910999</v>
      </c>
      <c r="D27" s="2"/>
    </row>
    <row r="28" spans="1:4" ht="19" x14ac:dyDescent="0.25">
      <c r="A28">
        <v>34</v>
      </c>
      <c r="B28">
        <v>35</v>
      </c>
      <c r="C28">
        <v>32.096793683406403</v>
      </c>
      <c r="D28" s="2"/>
    </row>
    <row r="29" spans="1:4" ht="19" x14ac:dyDescent="0.25">
      <c r="A29">
        <v>34.5</v>
      </c>
      <c r="B29">
        <v>31</v>
      </c>
      <c r="C29">
        <v>30.53882367532</v>
      </c>
      <c r="D29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560B-AED8-4EAF-8F5B-C0D2F048D9F8}">
  <dimension ref="A1:D37"/>
  <sheetViews>
    <sheetView workbookViewId="0">
      <selection activeCell="A38" sqref="A38:C38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C1" t="s">
        <v>2</v>
      </c>
    </row>
    <row r="2" spans="1:4" ht="19" x14ac:dyDescent="0.25">
      <c r="A2">
        <v>40.01</v>
      </c>
      <c r="B2">
        <v>11.67</v>
      </c>
      <c r="C2">
        <v>21.932524767677101</v>
      </c>
      <c r="D2" s="2"/>
    </row>
    <row r="3" spans="1:4" ht="19" x14ac:dyDescent="0.25">
      <c r="A3">
        <v>45.07</v>
      </c>
      <c r="B3">
        <v>12.14</v>
      </c>
      <c r="C3">
        <v>23.482170460488099</v>
      </c>
      <c r="D3" s="2"/>
    </row>
    <row r="4" spans="1:4" ht="19" x14ac:dyDescent="0.25">
      <c r="A4">
        <v>50.37</v>
      </c>
      <c r="B4">
        <v>10.69</v>
      </c>
      <c r="C4">
        <v>23.893122518546999</v>
      </c>
      <c r="D4" s="2"/>
    </row>
    <row r="5" spans="1:4" ht="19" x14ac:dyDescent="0.25">
      <c r="A5">
        <v>41.68</v>
      </c>
      <c r="B5">
        <v>11.4</v>
      </c>
      <c r="C5">
        <v>22.196989991353298</v>
      </c>
      <c r="D5" s="2"/>
    </row>
    <row r="6" spans="1:4" ht="19" x14ac:dyDescent="0.25">
      <c r="A6">
        <v>38.43</v>
      </c>
      <c r="B6">
        <v>11.16</v>
      </c>
      <c r="C6">
        <v>21.195318313622899</v>
      </c>
      <c r="D6" s="2"/>
    </row>
    <row r="7" spans="1:4" ht="19" x14ac:dyDescent="0.25">
      <c r="A7">
        <v>46.69</v>
      </c>
      <c r="B7">
        <v>11.47</v>
      </c>
      <c r="C7">
        <v>23.479489539561701</v>
      </c>
      <c r="D7" s="2"/>
    </row>
    <row r="8" spans="1:4" ht="19" x14ac:dyDescent="0.25">
      <c r="A8">
        <v>49.45</v>
      </c>
      <c r="B8">
        <v>11.21</v>
      </c>
      <c r="C8">
        <v>23.980125318726699</v>
      </c>
      <c r="D8" s="2"/>
    </row>
    <row r="9" spans="1:4" ht="19" x14ac:dyDescent="0.25">
      <c r="A9">
        <v>44.24</v>
      </c>
      <c r="B9">
        <v>11.83</v>
      </c>
      <c r="C9">
        <v>23.097764478025798</v>
      </c>
      <c r="D9" s="2"/>
    </row>
    <row r="10" spans="1:4" ht="19" x14ac:dyDescent="0.25">
      <c r="A10">
        <v>43.16</v>
      </c>
      <c r="B10">
        <v>12.19</v>
      </c>
      <c r="C10">
        <v>23.045458763560099</v>
      </c>
      <c r="D10" s="2"/>
    </row>
    <row r="11" spans="1:4" ht="19" x14ac:dyDescent="0.25">
      <c r="A11">
        <v>43.62</v>
      </c>
      <c r="B11">
        <v>12.48</v>
      </c>
      <c r="C11">
        <v>23.329345341476301</v>
      </c>
      <c r="D11" s="2"/>
    </row>
    <row r="12" spans="1:4" ht="19" x14ac:dyDescent="0.25">
      <c r="A12">
        <v>47.2</v>
      </c>
      <c r="B12">
        <v>11.75</v>
      </c>
      <c r="C12">
        <v>23.764253156792599</v>
      </c>
      <c r="D12" s="2"/>
    </row>
    <row r="13" spans="1:4" ht="19" x14ac:dyDescent="0.25">
      <c r="A13">
        <v>49.52</v>
      </c>
      <c r="B13">
        <v>12.22</v>
      </c>
      <c r="C13">
        <v>24.571505955648</v>
      </c>
      <c r="D13" s="2"/>
    </row>
    <row r="14" spans="1:4" ht="19" x14ac:dyDescent="0.25">
      <c r="A14">
        <v>51.97</v>
      </c>
      <c r="B14">
        <v>12.29</v>
      </c>
      <c r="C14">
        <v>25.1603626688599</v>
      </c>
      <c r="D14" s="2"/>
    </row>
    <row r="15" spans="1:4" ht="19" x14ac:dyDescent="0.25">
      <c r="A15">
        <v>46.79</v>
      </c>
      <c r="B15">
        <v>11.85</v>
      </c>
      <c r="C15">
        <v>23.7250285456177</v>
      </c>
      <c r="D15" s="2"/>
    </row>
    <row r="16" spans="1:4" ht="19" x14ac:dyDescent="0.25">
      <c r="A16">
        <v>51.96</v>
      </c>
      <c r="B16">
        <v>12.33</v>
      </c>
      <c r="C16">
        <v>25.180151137881499</v>
      </c>
      <c r="D16" s="2"/>
    </row>
    <row r="17" spans="1:4" ht="19" x14ac:dyDescent="0.25">
      <c r="A17">
        <v>45.5</v>
      </c>
      <c r="B17">
        <v>14.5</v>
      </c>
      <c r="C17">
        <v>24.9190664172542</v>
      </c>
      <c r="D17" s="2"/>
    </row>
    <row r="18" spans="1:4" ht="19" x14ac:dyDescent="0.25">
      <c r="A18">
        <v>47.71</v>
      </c>
      <c r="B18">
        <v>11.95</v>
      </c>
      <c r="C18">
        <v>23.999787132391798</v>
      </c>
      <c r="D18" s="2"/>
    </row>
    <row r="19" spans="1:4" ht="19" x14ac:dyDescent="0.25">
      <c r="A19">
        <v>43.3</v>
      </c>
      <c r="B19">
        <v>14</v>
      </c>
      <c r="C19">
        <v>24.127419165848</v>
      </c>
      <c r="D19" s="2"/>
    </row>
    <row r="20" spans="1:4" ht="19" x14ac:dyDescent="0.25">
      <c r="A20">
        <v>46.5</v>
      </c>
      <c r="B20">
        <v>12</v>
      </c>
      <c r="C20">
        <v>23.743103361373301</v>
      </c>
      <c r="D20" s="2"/>
    </row>
    <row r="21" spans="1:4" ht="17.25" customHeight="1" x14ac:dyDescent="0.25">
      <c r="A21">
        <v>43.19</v>
      </c>
      <c r="B21">
        <v>13.7</v>
      </c>
      <c r="C21">
        <v>23.930804515941801</v>
      </c>
      <c r="D21" s="2"/>
    </row>
    <row r="22" spans="1:4" ht="19" x14ac:dyDescent="0.25">
      <c r="A22">
        <v>48</v>
      </c>
      <c r="B22">
        <v>11</v>
      </c>
      <c r="C22">
        <v>23.516479395223499</v>
      </c>
      <c r="D22" s="2"/>
    </row>
    <row r="23" spans="1:4" ht="19" x14ac:dyDescent="0.25">
      <c r="A23">
        <v>49.5</v>
      </c>
      <c r="B23">
        <v>13</v>
      </c>
      <c r="C23">
        <v>25.0011063549745</v>
      </c>
      <c r="D23" s="2"/>
    </row>
    <row r="24" spans="1:4" ht="19" x14ac:dyDescent="0.25">
      <c r="A24">
        <v>44</v>
      </c>
      <c r="B24">
        <v>12</v>
      </c>
      <c r="C24">
        <v>23.139607588146401</v>
      </c>
      <c r="D24" s="2"/>
    </row>
    <row r="25" spans="1:4" ht="19" x14ac:dyDescent="0.25">
      <c r="A25">
        <v>49</v>
      </c>
      <c r="B25">
        <v>11.4</v>
      </c>
      <c r="C25">
        <v>23.984875309110802</v>
      </c>
      <c r="D25" s="2"/>
    </row>
    <row r="26" spans="1:4" ht="19" x14ac:dyDescent="0.25">
      <c r="A26">
        <v>51</v>
      </c>
      <c r="B26">
        <v>12</v>
      </c>
      <c r="C26">
        <v>24.783343126954701</v>
      </c>
      <c r="D26" s="2"/>
    </row>
    <row r="27" spans="1:4" ht="19" x14ac:dyDescent="0.25">
      <c r="A27">
        <v>40.72</v>
      </c>
      <c r="B27">
        <v>11.29</v>
      </c>
      <c r="C27">
        <v>21.881652175484799</v>
      </c>
      <c r="D27" s="2"/>
    </row>
    <row r="28" spans="1:4" ht="19" x14ac:dyDescent="0.25">
      <c r="A28">
        <v>35.950000000000003</v>
      </c>
      <c r="B28">
        <v>11.66</v>
      </c>
      <c r="C28">
        <v>20.8413399741255</v>
      </c>
      <c r="D28" s="2"/>
    </row>
    <row r="29" spans="1:4" ht="19" x14ac:dyDescent="0.25">
      <c r="A29">
        <v>50.08</v>
      </c>
      <c r="B29">
        <v>12.05</v>
      </c>
      <c r="C29">
        <v>24.6034071733981</v>
      </c>
      <c r="D29" s="2"/>
    </row>
    <row r="30" spans="1:4" ht="19" x14ac:dyDescent="0.25">
      <c r="A30">
        <v>42.47</v>
      </c>
      <c r="B30">
        <v>11.12</v>
      </c>
      <c r="C30">
        <v>22.226824395921799</v>
      </c>
      <c r="D30" s="2"/>
    </row>
    <row r="31" spans="1:4" ht="19" x14ac:dyDescent="0.25">
      <c r="A31">
        <v>43.42</v>
      </c>
      <c r="B31">
        <v>11.38</v>
      </c>
      <c r="C31">
        <v>22.625100911095899</v>
      </c>
      <c r="D31" s="2"/>
    </row>
    <row r="32" spans="1:4" ht="19" x14ac:dyDescent="0.25">
      <c r="A32">
        <v>42.3</v>
      </c>
      <c r="B32">
        <v>12.5</v>
      </c>
      <c r="C32">
        <v>23.016392880719099</v>
      </c>
      <c r="D32" s="2"/>
    </row>
    <row r="33" spans="1:4" ht="19" x14ac:dyDescent="0.25">
      <c r="A33">
        <v>44.25</v>
      </c>
      <c r="B33">
        <v>11.93</v>
      </c>
      <c r="C33">
        <v>23.159449141887801</v>
      </c>
      <c r="D33" s="2"/>
    </row>
    <row r="34" spans="1:4" ht="19" x14ac:dyDescent="0.25">
      <c r="A34">
        <v>42.59</v>
      </c>
      <c r="B34">
        <v>12.15</v>
      </c>
      <c r="C34">
        <v>22.880360391104698</v>
      </c>
      <c r="D34" s="2"/>
    </row>
    <row r="35" spans="1:4" ht="19" x14ac:dyDescent="0.25">
      <c r="A35">
        <v>44.01</v>
      </c>
      <c r="B35">
        <v>12.05</v>
      </c>
      <c r="C35">
        <v>23.171622736448398</v>
      </c>
      <c r="D35" s="2"/>
    </row>
    <row r="36" spans="1:4" ht="19" x14ac:dyDescent="0.25">
      <c r="A36">
        <v>48.5</v>
      </c>
      <c r="B36">
        <v>14</v>
      </c>
      <c r="C36">
        <v>25.324051555983399</v>
      </c>
      <c r="D36" s="2"/>
    </row>
    <row r="37" spans="1:4" ht="19" x14ac:dyDescent="0.25">
      <c r="A37">
        <v>51</v>
      </c>
      <c r="B37">
        <v>18</v>
      </c>
      <c r="C37">
        <v>27.905404829226899</v>
      </c>
      <c r="D3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mean</vt:lpstr>
      <vt:lpstr>34C</vt:lpstr>
      <vt:lpstr>12mmHg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Cottle, Rachel Marie</dc:creator>
  <cp:lastModifiedBy>Qinqin Kong</cp:lastModifiedBy>
  <dcterms:created xsi:type="dcterms:W3CDTF">2025-05-02T13:01:23Z</dcterms:created>
  <dcterms:modified xsi:type="dcterms:W3CDTF">2025-06-07T18:02:16Z</dcterms:modified>
</cp:coreProperties>
</file>